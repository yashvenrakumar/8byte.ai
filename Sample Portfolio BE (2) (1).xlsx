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yanshu" sheetId="1" r:id="rId4"/>
  </sheets>
  <definedNames/>
  <calcPr/>
  <extLst>
    <ext uri="GoogleSheetsCustomDataVersion2">
      <go:sheetsCustomData xmlns:go="http://customooxmlschemas.google.com/" r:id="rId5" roundtripDataChecksum="pptgL8gc4oK+WV+8lMyqykHS/7IByWh2AbsaITk91fI="/>
    </ext>
  </extLst>
</workbook>
</file>

<file path=xl/sharedStrings.xml><?xml version="1.0" encoding="utf-8"?>
<sst xmlns="http://schemas.openxmlformats.org/spreadsheetml/2006/main" count="118" uniqueCount="84">
  <si>
    <t>Core Fundamentals</t>
  </si>
  <si>
    <t>Growth (3 years</t>
  </si>
  <si>
    <t>No</t>
  </si>
  <si>
    <t>Particulars</t>
  </si>
  <si>
    <t>Purchase Price</t>
  </si>
  <si>
    <t>Qty</t>
  </si>
  <si>
    <t>Investment</t>
  </si>
  <si>
    <t>Portfolio (%)</t>
  </si>
  <si>
    <t>NSE/BSE</t>
  </si>
  <si>
    <t>CMP</t>
  </si>
  <si>
    <t>Present value</t>
  </si>
  <si>
    <t>Gain/Loss</t>
  </si>
  <si>
    <t>Gain/Loss
(%)</t>
  </si>
  <si>
    <t>Market Cap</t>
  </si>
  <si>
    <t>P/E (TTM)</t>
  </si>
  <si>
    <t>Latest Earnings</t>
  </si>
  <si>
    <t>Revenue (TTM)</t>
  </si>
  <si>
    <t>EBITDA
(TTM)</t>
  </si>
  <si>
    <t>EBITDA (%)</t>
  </si>
  <si>
    <t>PAT</t>
  </si>
  <si>
    <t>PAT (%)</t>
  </si>
  <si>
    <t>CFO (March 24)</t>
  </si>
  <si>
    <t>CFO 
(5 years)</t>
  </si>
  <si>
    <t>Free Cash Flow
(5 years)</t>
  </si>
  <si>
    <t>Debt to Equity</t>
  </si>
  <si>
    <t>Book Value</t>
  </si>
  <si>
    <t>Revenue</t>
  </si>
  <si>
    <t>EBITDA</t>
  </si>
  <si>
    <t>Profit</t>
  </si>
  <si>
    <t>Market
Cap</t>
  </si>
  <si>
    <t>Price to Sales</t>
  </si>
  <si>
    <t>CFO to EBITDA</t>
  </si>
  <si>
    <t>CFO to PAT</t>
  </si>
  <si>
    <t>Price to book</t>
  </si>
  <si>
    <t>Stage-2</t>
  </si>
  <si>
    <t>Sale price</t>
  </si>
  <si>
    <t>Abhishek</t>
  </si>
  <si>
    <t>Financial Sector</t>
  </si>
  <si>
    <t>HDFC Bank</t>
  </si>
  <si>
    <t>HDFCBANK</t>
  </si>
  <si>
    <t>Yes</t>
  </si>
  <si>
    <t>Bajaj Finance</t>
  </si>
  <si>
    <t>BAJFINANCE</t>
  </si>
  <si>
    <t>Exit</t>
  </si>
  <si>
    <t>ICICI Bank</t>
  </si>
  <si>
    <t>Bajaj Housing</t>
  </si>
  <si>
    <t>NA</t>
  </si>
  <si>
    <t>Savani Financials</t>
  </si>
  <si>
    <t>Tech Sector</t>
  </si>
  <si>
    <t>Affle India</t>
  </si>
  <si>
    <t>AFFLE</t>
  </si>
  <si>
    <t>LTI Mindtree</t>
  </si>
  <si>
    <t>LTIM</t>
  </si>
  <si>
    <t>KPIT Tech</t>
  </si>
  <si>
    <t>Must exit</t>
  </si>
  <si>
    <t>Tata Tech</t>
  </si>
  <si>
    <t>BLS E-Services</t>
  </si>
  <si>
    <t xml:space="preserve">Tanla </t>
  </si>
  <si>
    <t xml:space="preserve">Consumer </t>
  </si>
  <si>
    <t>Dmart</t>
  </si>
  <si>
    <t>DMART</t>
  </si>
  <si>
    <t>Must Exit</t>
  </si>
  <si>
    <t>Tata Consumer</t>
  </si>
  <si>
    <t>Pidilite</t>
  </si>
  <si>
    <t>Power</t>
  </si>
  <si>
    <t>Tata Power</t>
  </si>
  <si>
    <t>KPI Green</t>
  </si>
  <si>
    <t>Suzlon</t>
  </si>
  <si>
    <t>Gensol</t>
  </si>
  <si>
    <t>Pipe Sector</t>
  </si>
  <si>
    <t>Hariom Pipes</t>
  </si>
  <si>
    <t>Astral</t>
  </si>
  <si>
    <t>ASTRAL</t>
  </si>
  <si>
    <t>Polycab</t>
  </si>
  <si>
    <t>Others</t>
  </si>
  <si>
    <t>Clean Science</t>
  </si>
  <si>
    <t>Deepak Nitrite</t>
  </si>
  <si>
    <t>Fine Organic</t>
  </si>
  <si>
    <t>Gravita</t>
  </si>
  <si>
    <t>SBI Life</t>
  </si>
  <si>
    <t>Sold Price</t>
  </si>
  <si>
    <t>Infy</t>
  </si>
  <si>
    <t>Happeist Mind</t>
  </si>
  <si>
    <t>Easemytrip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</si>
</sst>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1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1.0"/>
      <color rgb="FF000000"/>
      <name val="Arial"/>
    </font>
    <font>
      <b/>
      <sz val="11.0"/>
      <color rgb="FF000000"/>
      <name val="Arial"/>
    </font>
    <font>
      <sz val="11.0"/>
      <color rgb="FF000000"/>
      <name val="&quot;Aptos Narrow&quot;"/>
    </font>
    <font>
      <sz val="10.0"/>
      <color theme="1"/>
      <name val="__fkGroteskNeue_598ab8"/>
    </font>
    <font>
      <sz val="11.0"/>
      <color rgb="FF000000"/>
      <name val="Calibri"/>
    </font>
    <font>
      <sz val="10.0"/>
      <color rgb="FF434343"/>
      <name val="Roboto"/>
    </font>
    <font>
      <b/>
      <sz val="11.0"/>
      <color theme="1"/>
      <name val="Arial"/>
    </font>
    <font>
      <b/>
      <sz val="10.0"/>
      <color rgb="FF434343"/>
      <name val="Roboto"/>
    </font>
  </fonts>
  <fills count="8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  <fill>
      <patternFill patternType="solid">
        <fgColor rgb="FF94DCF8"/>
        <bgColor rgb="FF94DCF8"/>
      </patternFill>
    </fill>
  </fills>
  <borders count="2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B6D7A8"/>
      </left>
      <right style="thin">
        <color rgb="FFB6D7A8"/>
      </right>
      <top style="thin">
        <color rgb="FFB6D7A8"/>
      </top>
      <bottom style="thin">
        <color rgb="FFB6D7A8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EA9999"/>
      </left>
      <right style="thin">
        <color rgb="FFEA9999"/>
      </right>
      <top style="thin">
        <color rgb="FFEA9999"/>
      </top>
      <bottom style="thin">
        <color rgb="FFEA9999"/>
      </bottom>
    </border>
    <border>
      <left style="thin">
        <color rgb="FFF4CCCC"/>
      </left>
      <right style="thin">
        <color rgb="FFF4CCCC"/>
      </right>
      <top style="thin">
        <color rgb="FFF4CCCC"/>
      </top>
      <bottom style="thin">
        <color rgb="FFF4CCCC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EA9999"/>
      </left>
      <right style="thin">
        <color rgb="FF284E3F"/>
      </right>
      <top style="thin">
        <color rgb="FFEA9999"/>
      </top>
      <bottom style="thin">
        <color rgb="FFEA9999"/>
      </bottom>
    </border>
    <border>
      <left style="thin">
        <color rgb="FFFF0000"/>
      </left>
      <right style="thin">
        <color rgb="FF284E3F"/>
      </right>
      <top style="thin">
        <color rgb="FFFF0000"/>
      </top>
      <bottom style="thin">
        <color rgb="FFFF0000"/>
      </bottom>
    </border>
    <border>
      <left style="thin">
        <color rgb="FFD9EAD3"/>
      </left>
      <right style="thin">
        <color rgb="FF284E3F"/>
      </right>
      <top style="thin">
        <color rgb="FFD9EAD3"/>
      </top>
      <bottom style="thin">
        <color rgb="FFD9EAD3"/>
      </bottom>
    </border>
    <border>
      <left style="thin">
        <color rgb="FF284E3F"/>
      </left>
      <right style="thin">
        <color rgb="FFF1F3F4"/>
      </right>
      <top style="double">
        <color rgb="FF284E3F"/>
      </top>
      <bottom style="thin">
        <color rgb="FF284E3F"/>
      </bottom>
    </border>
    <border>
      <left style="thin">
        <color rgb="FFF1F3F4"/>
      </left>
      <right style="thin">
        <color rgb="FFF1F3F4"/>
      </right>
      <top style="double">
        <color rgb="FF284E3F"/>
      </top>
      <bottom style="thin">
        <color rgb="FF284E3F"/>
      </bottom>
    </border>
    <border>
      <left style="thin">
        <color rgb="FFF1F3F4"/>
      </left>
      <right style="thin">
        <color rgb="FF284E3F"/>
      </right>
      <top style="double">
        <color rgb="FF284E3F"/>
      </top>
      <bottom style="thin">
        <color rgb="FF284E3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4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49" xfId="0" applyFont="1" applyNumberFormat="1"/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2" numFmtId="4" xfId="0" applyAlignment="1" applyFont="1" applyNumberFormat="1">
      <alignment horizontal="center"/>
    </xf>
    <xf borderId="1" fillId="0" fontId="1" numFmtId="0" xfId="0" applyAlignment="1" applyBorder="1" applyFont="1">
      <alignment horizontal="left" vertical="center"/>
    </xf>
    <xf borderId="2" fillId="0" fontId="1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horizontal="left" vertical="center"/>
    </xf>
    <xf borderId="2" fillId="0" fontId="2" numFmtId="49" xfId="0" applyAlignment="1" applyBorder="1" applyFont="1" applyNumberFormat="1">
      <alignment horizontal="left" shrinkToFit="0" vertical="center" wrapText="1"/>
    </xf>
    <xf borderId="2" fillId="0" fontId="2" numFmtId="49" xfId="0" applyAlignment="1" applyBorder="1" applyFont="1" applyNumberFormat="1">
      <alignment horizontal="left" vertical="center"/>
    </xf>
    <xf borderId="2" fillId="0" fontId="2" numFmtId="0" xfId="0" applyAlignment="1" applyBorder="1" applyFont="1">
      <alignment horizontal="center" shrinkToFit="0" vertical="center" wrapText="1"/>
    </xf>
    <xf borderId="2" fillId="0" fontId="2" numFmtId="4" xfId="0" applyAlignment="1" applyBorder="1" applyFont="1" applyNumberFormat="1">
      <alignment horizontal="center" shrinkToFit="0" vertical="center" wrapText="1"/>
    </xf>
    <xf borderId="3" fillId="0" fontId="2" numFmtId="0" xfId="0" applyAlignment="1" applyBorder="1" applyFont="1">
      <alignment horizontal="left" vertical="center"/>
    </xf>
    <xf borderId="4" fillId="2" fontId="3" numFmtId="0" xfId="0" applyAlignment="1" applyBorder="1" applyFill="1" applyFont="1">
      <alignment horizontal="left"/>
    </xf>
    <xf borderId="5" fillId="2" fontId="4" numFmtId="0" xfId="0" applyAlignment="1" applyBorder="1" applyFont="1">
      <alignment horizontal="left"/>
    </xf>
    <xf borderId="5" fillId="2" fontId="5" numFmtId="0" xfId="0" applyAlignment="1" applyBorder="1" applyFont="1">
      <alignment horizontal="center"/>
    </xf>
    <xf borderId="5" fillId="2" fontId="1" numFmtId="0" xfId="0" applyAlignment="1" applyBorder="1" applyFont="1">
      <alignment vertical="center"/>
    </xf>
    <xf borderId="5" fillId="2" fontId="1" numFmtId="9" xfId="0" applyAlignment="1" applyBorder="1" applyFont="1" applyNumberFormat="1">
      <alignment vertical="center"/>
    </xf>
    <xf borderId="5" fillId="2" fontId="6" numFmtId="0" xfId="0" applyAlignment="1" applyBorder="1" applyFont="1">
      <alignment vertical="center"/>
    </xf>
    <xf borderId="5" fillId="2" fontId="2" numFmtId="1" xfId="0" applyAlignment="1" applyBorder="1" applyFont="1" applyNumberFormat="1">
      <alignment vertical="center"/>
    </xf>
    <xf borderId="5" fillId="2" fontId="1" numFmtId="10" xfId="0" applyAlignment="1" applyBorder="1" applyFont="1" applyNumberFormat="1">
      <alignment vertical="center"/>
    </xf>
    <xf borderId="5" fillId="2" fontId="2" numFmtId="1" xfId="0" applyAlignment="1" applyBorder="1" applyFont="1" applyNumberFormat="1">
      <alignment horizontal="center" vertical="center"/>
    </xf>
    <xf borderId="5" fillId="2" fontId="2" numFmtId="0" xfId="0" applyAlignment="1" applyBorder="1" applyFont="1">
      <alignment horizontal="center" vertical="center"/>
    </xf>
    <xf borderId="5" fillId="2" fontId="7" numFmtId="3" xfId="0" applyAlignment="1" applyBorder="1" applyFont="1" applyNumberFormat="1">
      <alignment horizontal="center"/>
    </xf>
    <xf borderId="5" fillId="2" fontId="7" numFmtId="0" xfId="0" applyAlignment="1" applyBorder="1" applyFont="1">
      <alignment horizontal="center"/>
    </xf>
    <xf borderId="5" fillId="2" fontId="7" numFmtId="9" xfId="0" applyAlignment="1" applyBorder="1" applyFont="1" applyNumberFormat="1">
      <alignment horizontal="center"/>
    </xf>
    <xf borderId="5" fillId="2" fontId="7" numFmtId="10" xfId="0" applyAlignment="1" applyBorder="1" applyFont="1" applyNumberFormat="1">
      <alignment horizontal="center"/>
    </xf>
    <xf borderId="5" fillId="2" fontId="2" numFmtId="2" xfId="0" applyAlignment="1" applyBorder="1" applyFont="1" applyNumberFormat="1">
      <alignment horizontal="center" vertical="center"/>
    </xf>
    <xf borderId="5" fillId="2" fontId="2" numFmtId="9" xfId="0" applyAlignment="1" applyBorder="1" applyFont="1" applyNumberFormat="1">
      <alignment horizontal="center" vertical="center"/>
    </xf>
    <xf borderId="5" fillId="2" fontId="2" numFmtId="164" xfId="0" applyAlignment="1" applyBorder="1" applyFont="1" applyNumberFormat="1">
      <alignment horizontal="center" vertical="center"/>
    </xf>
    <xf borderId="6" fillId="2" fontId="2" numFmtId="0" xfId="0" applyAlignment="1" applyBorder="1" applyFont="1">
      <alignment horizontal="center" vertical="center"/>
    </xf>
    <xf borderId="7" fillId="2" fontId="2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left"/>
    </xf>
    <xf borderId="9" fillId="0" fontId="3" numFmtId="0" xfId="0" applyAlignment="1" applyBorder="1" applyFont="1">
      <alignment horizontal="left"/>
    </xf>
    <xf borderId="9" fillId="0" fontId="3" numFmtId="0" xfId="0" applyAlignment="1" applyBorder="1" applyFont="1">
      <alignment horizontal="center"/>
    </xf>
    <xf borderId="9" fillId="0" fontId="2" numFmtId="0" xfId="0" applyAlignment="1" applyBorder="1" applyFont="1">
      <alignment vertical="center"/>
    </xf>
    <xf borderId="9" fillId="0" fontId="2" numFmtId="9" xfId="0" applyAlignment="1" applyBorder="1" applyFont="1" applyNumberFormat="1">
      <alignment vertical="center"/>
    </xf>
    <xf borderId="9" fillId="0" fontId="6" numFmtId="0" xfId="0" applyAlignment="1" applyBorder="1" applyFont="1">
      <alignment vertical="center"/>
    </xf>
    <xf borderId="9" fillId="0" fontId="2" numFmtId="1" xfId="0" applyAlignment="1" applyBorder="1" applyFont="1" applyNumberFormat="1">
      <alignment vertical="center"/>
    </xf>
    <xf borderId="10" fillId="0" fontId="2" numFmtId="0" xfId="0" applyAlignment="1" applyBorder="1" applyFont="1">
      <alignment vertical="center"/>
    </xf>
    <xf borderId="9" fillId="0" fontId="2" numFmtId="10" xfId="0" applyAlignment="1" applyBorder="1" applyFont="1" applyNumberFormat="1">
      <alignment vertical="center"/>
    </xf>
    <xf borderId="9" fillId="0" fontId="2" numFmtId="1" xfId="0" applyAlignment="1" applyBorder="1" applyFont="1" applyNumberFormat="1">
      <alignment horizontal="center" vertical="center"/>
    </xf>
    <xf borderId="9" fillId="0" fontId="2" numFmtId="0" xfId="0" applyAlignment="1" applyBorder="1" applyFont="1">
      <alignment horizontal="center" vertical="center"/>
    </xf>
    <xf borderId="9" fillId="0" fontId="7" numFmtId="3" xfId="0" applyAlignment="1" applyBorder="1" applyFont="1" applyNumberFormat="1">
      <alignment horizontal="center"/>
    </xf>
    <xf borderId="9" fillId="0" fontId="7" numFmtId="0" xfId="0" applyAlignment="1" applyBorder="1" applyFont="1">
      <alignment horizontal="center"/>
    </xf>
    <xf borderId="9" fillId="0" fontId="7" numFmtId="9" xfId="0" applyAlignment="1" applyBorder="1" applyFont="1" applyNumberFormat="1">
      <alignment horizontal="center"/>
    </xf>
    <xf borderId="11" fillId="0" fontId="7" numFmtId="0" xfId="0" applyAlignment="1" applyBorder="1" applyFont="1">
      <alignment horizontal="center"/>
    </xf>
    <xf borderId="9" fillId="0" fontId="7" numFmtId="10" xfId="0" applyAlignment="1" applyBorder="1" applyFont="1" applyNumberFormat="1">
      <alignment horizontal="center"/>
    </xf>
    <xf borderId="9" fillId="0" fontId="2" numFmtId="2" xfId="0" applyAlignment="1" applyBorder="1" applyFont="1" applyNumberFormat="1">
      <alignment horizontal="center" vertical="center"/>
    </xf>
    <xf borderId="12" fillId="0" fontId="2" numFmtId="9" xfId="0" applyAlignment="1" applyBorder="1" applyFont="1" applyNumberFormat="1">
      <alignment horizontal="center" vertical="center"/>
    </xf>
    <xf borderId="13" fillId="0" fontId="2" numFmtId="9" xfId="0" applyAlignment="1" applyBorder="1" applyFont="1" applyNumberFormat="1">
      <alignment horizontal="center" vertical="center"/>
    </xf>
    <xf borderId="9" fillId="0" fontId="2" numFmtId="164" xfId="0" applyAlignment="1" applyBorder="1" applyFont="1" applyNumberFormat="1">
      <alignment horizontal="center" vertical="center"/>
    </xf>
    <xf borderId="14" fillId="0" fontId="2" numFmtId="0" xfId="0" applyAlignment="1" applyBorder="1" applyFont="1">
      <alignment horizontal="center" vertical="center"/>
    </xf>
    <xf borderId="15" fillId="0" fontId="3" numFmtId="0" xfId="0" applyAlignment="1" applyBorder="1" applyFont="1">
      <alignment horizontal="left"/>
    </xf>
    <xf borderId="6" fillId="0" fontId="3" numFmtId="0" xfId="0" applyAlignment="1" applyBorder="1" applyFont="1">
      <alignment horizontal="left"/>
    </xf>
    <xf borderId="6" fillId="0" fontId="3" numFmtId="0" xfId="0" applyAlignment="1" applyBorder="1" applyFont="1">
      <alignment horizontal="center"/>
    </xf>
    <xf borderId="6" fillId="0" fontId="2" numFmtId="0" xfId="0" applyAlignment="1" applyBorder="1" applyFont="1">
      <alignment vertical="center"/>
    </xf>
    <xf borderId="6" fillId="0" fontId="2" numFmtId="9" xfId="0" applyAlignment="1" applyBorder="1" applyFont="1" applyNumberFormat="1">
      <alignment vertical="center"/>
    </xf>
    <xf borderId="6" fillId="0" fontId="6" numFmtId="0" xfId="0" applyAlignment="1" applyBorder="1" applyFont="1">
      <alignment vertical="center"/>
    </xf>
    <xf borderId="6" fillId="0" fontId="2" numFmtId="1" xfId="0" applyAlignment="1" applyBorder="1" applyFont="1" applyNumberFormat="1">
      <alignment vertical="center"/>
    </xf>
    <xf borderId="6" fillId="0" fontId="2" numFmtId="10" xfId="0" applyAlignment="1" applyBorder="1" applyFont="1" applyNumberFormat="1">
      <alignment vertical="center"/>
    </xf>
    <xf borderId="6" fillId="0" fontId="2" numFmtId="1" xfId="0" applyAlignment="1" applyBorder="1" applyFont="1" applyNumberFormat="1">
      <alignment horizontal="center" vertical="center"/>
    </xf>
    <xf borderId="6" fillId="0" fontId="2" numFmtId="0" xfId="0" applyAlignment="1" applyBorder="1" applyFont="1">
      <alignment horizontal="center" vertical="center"/>
    </xf>
    <xf borderId="6" fillId="0" fontId="7" numFmtId="3" xfId="0" applyAlignment="1" applyBorder="1" applyFont="1" applyNumberFormat="1">
      <alignment horizontal="center"/>
    </xf>
    <xf borderId="6" fillId="0" fontId="7" numFmtId="0" xfId="0" applyAlignment="1" applyBorder="1" applyFont="1">
      <alignment horizontal="center"/>
    </xf>
    <xf borderId="6" fillId="0" fontId="7" numFmtId="9" xfId="0" applyAlignment="1" applyBorder="1" applyFont="1" applyNumberFormat="1">
      <alignment horizontal="center"/>
    </xf>
    <xf borderId="6" fillId="0" fontId="7" numFmtId="10" xfId="0" applyAlignment="1" applyBorder="1" applyFont="1" applyNumberFormat="1">
      <alignment horizontal="center"/>
    </xf>
    <xf borderId="6" fillId="0" fontId="2" numFmtId="2" xfId="0" applyAlignment="1" applyBorder="1" applyFont="1" applyNumberFormat="1">
      <alignment horizontal="center" vertical="center"/>
    </xf>
    <xf borderId="11" fillId="3" fontId="2" numFmtId="164" xfId="0" applyAlignment="1" applyBorder="1" applyFill="1" applyFont="1" applyNumberFormat="1">
      <alignment horizontal="center" vertical="center"/>
    </xf>
    <xf borderId="13" fillId="3" fontId="2" numFmtId="0" xfId="0" applyAlignment="1" applyBorder="1" applyFont="1">
      <alignment horizontal="center" vertical="center"/>
    </xf>
    <xf borderId="6" fillId="3" fontId="1" numFmtId="0" xfId="0" applyAlignment="1" applyBorder="1" applyFont="1">
      <alignment horizontal="center" vertical="center"/>
    </xf>
    <xf borderId="16" fillId="3" fontId="1" numFmtId="0" xfId="0" applyAlignment="1" applyBorder="1" applyFont="1">
      <alignment horizontal="center" vertical="center"/>
    </xf>
    <xf borderId="9" fillId="0" fontId="2" numFmtId="9" xfId="0" applyAlignment="1" applyBorder="1" applyFont="1" applyNumberFormat="1">
      <alignment horizontal="center" vertical="center"/>
    </xf>
    <xf borderId="9" fillId="3" fontId="2" numFmtId="0" xfId="0" applyAlignment="1" applyBorder="1" applyFont="1">
      <alignment horizontal="center" vertical="center"/>
    </xf>
    <xf borderId="14" fillId="3" fontId="2" numFmtId="0" xfId="0" applyAlignment="1" applyBorder="1" applyFont="1">
      <alignment horizontal="center" vertical="center"/>
    </xf>
    <xf borderId="6" fillId="4" fontId="3" numFmtId="0" xfId="0" applyAlignment="1" applyBorder="1" applyFill="1" applyFont="1">
      <alignment horizontal="left"/>
    </xf>
    <xf borderId="6" fillId="0" fontId="7" numFmtId="0" xfId="0" applyAlignment="1" applyBorder="1" applyFont="1">
      <alignment vertical="center"/>
    </xf>
    <xf borderId="13" fillId="0" fontId="2" numFmtId="0" xfId="0" applyAlignment="1" applyBorder="1" applyFont="1">
      <alignment vertical="center"/>
    </xf>
    <xf borderId="12" fillId="0" fontId="2" numFmtId="0" xfId="0" applyAlignment="1" applyBorder="1" applyFont="1">
      <alignment horizontal="center" vertical="center"/>
    </xf>
    <xf borderId="6" fillId="0" fontId="2" numFmtId="164" xfId="0" applyAlignment="1" applyBorder="1" applyFont="1" applyNumberFormat="1">
      <alignment horizontal="center" vertical="center"/>
    </xf>
    <xf borderId="7" fillId="0" fontId="2" numFmtId="0" xfId="0" applyAlignment="1" applyBorder="1" applyFont="1">
      <alignment horizontal="center" vertical="center"/>
    </xf>
    <xf borderId="9" fillId="0" fontId="5" numFmtId="0" xfId="0" applyAlignment="1" applyBorder="1" applyFont="1">
      <alignment horizontal="left"/>
    </xf>
    <xf borderId="9" fillId="0" fontId="7" numFmtId="0" xfId="0" applyAlignment="1" applyBorder="1" applyFont="1">
      <alignment vertical="center"/>
    </xf>
    <xf borderId="9" fillId="5" fontId="8" numFmtId="3" xfId="0" applyAlignment="1" applyBorder="1" applyFill="1" applyFont="1" applyNumberFormat="1">
      <alignment horizontal="center" vertical="center"/>
    </xf>
    <xf borderId="9" fillId="0" fontId="2" numFmtId="3" xfId="0" applyAlignment="1" applyBorder="1" applyFont="1" applyNumberFormat="1">
      <alignment horizontal="center" vertical="center"/>
    </xf>
    <xf borderId="12" fillId="0" fontId="7" numFmtId="0" xfId="0" applyAlignment="1" applyBorder="1" applyFont="1">
      <alignment horizontal="center"/>
    </xf>
    <xf borderId="6" fillId="0" fontId="2" numFmtId="9" xfId="0" applyAlignment="1" applyBorder="1" applyFont="1" applyNumberFormat="1">
      <alignment horizontal="center" vertical="center"/>
    </xf>
    <xf borderId="13" fillId="0" fontId="2" numFmtId="0" xfId="0" applyAlignment="1" applyBorder="1" applyFont="1">
      <alignment horizontal="center" vertical="center"/>
    </xf>
    <xf borderId="11" fillId="0" fontId="2" numFmtId="164" xfId="0" applyAlignment="1" applyBorder="1" applyFont="1" applyNumberFormat="1">
      <alignment horizontal="center" vertical="center"/>
    </xf>
    <xf borderId="17" fillId="0" fontId="2" numFmtId="0" xfId="0" applyAlignment="1" applyBorder="1" applyFont="1">
      <alignment horizontal="center" vertical="center"/>
    </xf>
    <xf borderId="6" fillId="0" fontId="5" numFmtId="0" xfId="0" applyAlignment="1" applyBorder="1" applyFont="1">
      <alignment horizontal="left"/>
    </xf>
    <xf borderId="6" fillId="4" fontId="5" numFmtId="0" xfId="0" applyAlignment="1" applyBorder="1" applyFont="1">
      <alignment horizontal="left"/>
    </xf>
    <xf borderId="4" fillId="2" fontId="2" numFmtId="0" xfId="0" applyBorder="1" applyFont="1"/>
    <xf borderId="5" fillId="2" fontId="9" numFmtId="0" xfId="0" applyBorder="1" applyFont="1"/>
    <xf borderId="5" fillId="2" fontId="2" numFmtId="0" xfId="0" applyBorder="1" applyFont="1"/>
    <xf borderId="5" fillId="2" fontId="10" numFmtId="0" xfId="0" applyAlignment="1" applyBorder="1" applyFont="1">
      <alignment horizontal="right" vertical="center"/>
    </xf>
    <xf borderId="5" fillId="2" fontId="10" numFmtId="9" xfId="0" applyAlignment="1" applyBorder="1" applyFont="1" applyNumberFormat="1">
      <alignment horizontal="right" vertical="center"/>
    </xf>
    <xf borderId="5" fillId="2" fontId="2" numFmtId="0" xfId="0" applyAlignment="1" applyBorder="1" applyFont="1">
      <alignment vertical="center"/>
    </xf>
    <xf borderId="5" fillId="2" fontId="8" numFmtId="1" xfId="0" applyAlignment="1" applyBorder="1" applyFont="1" applyNumberFormat="1">
      <alignment horizontal="right" vertical="center"/>
    </xf>
    <xf borderId="5" fillId="2" fontId="10" numFmtId="10" xfId="0" applyAlignment="1" applyBorder="1" applyFont="1" applyNumberFormat="1">
      <alignment vertical="center"/>
    </xf>
    <xf borderId="5" fillId="2" fontId="8" numFmtId="1" xfId="0" applyAlignment="1" applyBorder="1" applyFont="1" applyNumberFormat="1">
      <alignment horizontal="center" vertical="center"/>
    </xf>
    <xf borderId="5" fillId="2" fontId="8" numFmtId="0" xfId="0" applyAlignment="1" applyBorder="1" applyFont="1">
      <alignment horizontal="center" vertical="center"/>
    </xf>
    <xf borderId="5" fillId="2" fontId="2" numFmtId="3" xfId="0" applyAlignment="1" applyBorder="1" applyFont="1" applyNumberFormat="1">
      <alignment horizontal="center"/>
    </xf>
    <xf borderId="5" fillId="2" fontId="2" numFmtId="0" xfId="0" applyAlignment="1" applyBorder="1" applyFont="1">
      <alignment horizontal="center"/>
    </xf>
    <xf borderId="5" fillId="2" fontId="2" numFmtId="9" xfId="0" applyAlignment="1" applyBorder="1" applyFont="1" applyNumberFormat="1">
      <alignment horizontal="center"/>
    </xf>
    <xf borderId="5" fillId="2" fontId="2" numFmtId="10" xfId="0" applyAlignment="1" applyBorder="1" applyFont="1" applyNumberFormat="1">
      <alignment horizontal="center"/>
    </xf>
    <xf borderId="18" fillId="2" fontId="2" numFmtId="164" xfId="0" applyAlignment="1" applyBorder="1" applyFont="1" applyNumberFormat="1">
      <alignment horizontal="center" vertical="center"/>
    </xf>
    <xf borderId="9" fillId="2" fontId="2" numFmtId="0" xfId="0" applyAlignment="1" applyBorder="1" applyFont="1">
      <alignment horizontal="center" vertical="center"/>
    </xf>
    <xf borderId="14" fillId="2" fontId="2" numFmtId="0" xfId="0" applyAlignment="1" applyBorder="1" applyFont="1">
      <alignment horizontal="center" vertical="center"/>
    </xf>
    <xf borderId="11" fillId="0" fontId="7" numFmtId="9" xfId="0" applyAlignment="1" applyBorder="1" applyFont="1" applyNumberFormat="1">
      <alignment horizontal="center"/>
    </xf>
    <xf borderId="11" fillId="0" fontId="2" numFmtId="2" xfId="0" applyAlignment="1" applyBorder="1" applyFont="1" applyNumberFormat="1">
      <alignment horizontal="center" vertical="center"/>
    </xf>
    <xf borderId="6" fillId="3" fontId="2" numFmtId="0" xfId="0" applyAlignment="1" applyBorder="1" applyFont="1">
      <alignment horizontal="center" vertical="center"/>
    </xf>
    <xf borderId="17" fillId="3" fontId="2" numFmtId="0" xfId="0" applyAlignment="1" applyBorder="1" applyFont="1">
      <alignment horizontal="center" vertical="center"/>
    </xf>
    <xf borderId="7" fillId="3" fontId="2" numFmtId="0" xfId="0" applyAlignment="1" applyBorder="1" applyFont="1">
      <alignment horizontal="center" vertical="center"/>
    </xf>
    <xf borderId="5" fillId="2" fontId="3" numFmtId="0" xfId="0" applyAlignment="1" applyBorder="1" applyFont="1">
      <alignment horizontal="center"/>
    </xf>
    <xf borderId="5" fillId="2" fontId="7" numFmtId="0" xfId="0" applyAlignment="1" applyBorder="1" applyFont="1">
      <alignment vertical="center"/>
    </xf>
    <xf borderId="19" fillId="6" fontId="3" numFmtId="0" xfId="0" applyAlignment="1" applyBorder="1" applyFill="1" applyFont="1">
      <alignment horizontal="left"/>
    </xf>
    <xf borderId="20" fillId="7" fontId="5" numFmtId="0" xfId="0" applyAlignment="1" applyBorder="1" applyFill="1" applyFont="1">
      <alignment horizontal="left"/>
    </xf>
    <xf borderId="20" fillId="6" fontId="5" numFmtId="0" xfId="0" applyAlignment="1" applyBorder="1" applyFont="1">
      <alignment horizontal="left"/>
    </xf>
    <xf borderId="20" fillId="6" fontId="2" numFmtId="0" xfId="0" applyAlignment="1" applyBorder="1" applyFont="1">
      <alignment vertical="center"/>
    </xf>
    <xf borderId="20" fillId="6" fontId="2" numFmtId="9" xfId="0" applyAlignment="1" applyBorder="1" applyFont="1" applyNumberFormat="1">
      <alignment vertical="center"/>
    </xf>
    <xf borderId="20" fillId="6" fontId="2" numFmtId="0" xfId="0" applyAlignment="1" applyBorder="1" applyFont="1">
      <alignment horizontal="center" vertical="center"/>
    </xf>
    <xf borderId="20" fillId="6" fontId="2" numFmtId="4" xfId="0" applyAlignment="1" applyBorder="1" applyFont="1" applyNumberFormat="1">
      <alignment horizontal="center" vertical="center"/>
    </xf>
    <xf borderId="21" fillId="6" fontId="2" numFmtId="0" xfId="0" applyAlignment="1" applyBorder="1" applyFont="1">
      <alignment horizontal="center" vertical="center"/>
    </xf>
    <xf borderId="0" fillId="0" fontId="2" numFmtId="1" xfId="0" applyFont="1" applyNumberFormat="1"/>
    <xf borderId="0" fillId="0" fontId="2" numFmtId="10" xfId="0" applyFont="1" applyNumberFormat="1"/>
    <xf borderId="0" fillId="0" fontId="2" numFmtId="4" xfId="0" applyFont="1" applyNumberFormat="1"/>
    <xf borderId="22" fillId="3" fontId="3" numFmtId="0" xfId="0" applyAlignment="1" applyBorder="1" applyFont="1">
      <alignment horizontal="left"/>
    </xf>
    <xf borderId="22" fillId="3" fontId="3" numFmtId="0" xfId="0" applyAlignment="1" applyBorder="1" applyFont="1">
      <alignment horizontal="center"/>
    </xf>
    <xf borderId="22" fillId="3" fontId="2" numFmtId="0" xfId="0" applyBorder="1" applyFont="1"/>
    <xf borderId="22" fillId="3" fontId="2" numFmtId="9" xfId="0" applyBorder="1" applyFont="1" applyNumberFormat="1"/>
    <xf borderId="22" fillId="3" fontId="6" numFmtId="0" xfId="0" applyBorder="1" applyFont="1"/>
    <xf borderId="22" fillId="3" fontId="2" numFmtId="1" xfId="0" applyBorder="1" applyFont="1" applyNumberFormat="1"/>
    <xf borderId="22" fillId="3" fontId="2" numFmtId="10" xfId="0" applyBorder="1" applyFont="1" applyNumberFormat="1"/>
    <xf borderId="22" fillId="3" fontId="2" numFmtId="1" xfId="0" applyAlignment="1" applyBorder="1" applyFont="1" applyNumberFormat="1">
      <alignment horizontal="center"/>
    </xf>
    <xf borderId="22" fillId="3" fontId="2" numFmtId="0" xfId="0" applyAlignment="1" applyBorder="1" applyFont="1">
      <alignment horizontal="center"/>
    </xf>
    <xf borderId="22" fillId="3" fontId="7" numFmtId="3" xfId="0" applyAlignment="1" applyBorder="1" applyFont="1" applyNumberFormat="1">
      <alignment horizontal="center"/>
    </xf>
    <xf borderId="22" fillId="3" fontId="7" numFmtId="0" xfId="0" applyAlignment="1" applyBorder="1" applyFont="1">
      <alignment horizontal="center"/>
    </xf>
    <xf borderId="22" fillId="3" fontId="7" numFmtId="9" xfId="0" applyAlignment="1" applyBorder="1" applyFont="1" applyNumberFormat="1">
      <alignment horizontal="center"/>
    </xf>
    <xf borderId="22" fillId="3" fontId="7" numFmtId="10" xfId="0" applyAlignment="1" applyBorder="1" applyFont="1" applyNumberFormat="1">
      <alignment horizontal="center"/>
    </xf>
    <xf borderId="22" fillId="3" fontId="2" numFmtId="2" xfId="0" applyAlignment="1" applyBorder="1" applyFont="1" applyNumberFormat="1">
      <alignment horizontal="center"/>
    </xf>
    <xf borderId="22" fillId="3" fontId="2" numFmtId="9" xfId="0" applyAlignment="1" applyBorder="1" applyFont="1" applyNumberFormat="1">
      <alignment horizontal="center"/>
    </xf>
    <xf borderId="22" fillId="3" fontId="2" numFmtId="164" xfId="0" applyAlignment="1" applyBorder="1" applyFont="1" applyNumberFormat="1">
      <alignment horizontal="center"/>
    </xf>
    <xf borderId="22" fillId="3" fontId="7" numFmtId="0" xfId="0" applyBorder="1" applyFont="1"/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1F3F4"/>
          <bgColor rgb="FFF1F3F4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  <tableStyles count="1">
    <tableStyle count="4" pivot="0" name="Priyanshu-style">
      <tableStyleElement dxfId="1" type="headerRow"/>
      <tableStyleElement dxfId="2" type="firstRowStripe"/>
      <tableStyleElement dxfId="3" type="secondRowStripe"/>
      <tableStyleElement dxfId="4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ref="A2:AI35" displayName="Table_1" name="Table_1" id="1">
  <tableColumns count="35">
    <tableColumn name="No" id="1"/>
    <tableColumn name="Particulars" id="2"/>
    <tableColumn name="Purchase Price" id="3"/>
    <tableColumn name="Qty" id="4"/>
    <tableColumn totalsRowFunction="custom" name="Investment" id="5"/>
    <tableColumn totalsRowFunction="custom" name="Portfolio (%)" id="6"/>
    <tableColumn name="NSE/BSE" id="7"/>
    <tableColumn name="CMP" id="8"/>
    <tableColumn totalsRowFunction="custom" name="Present value" id="9"/>
    <tableColumn totalsRowFunction="custom" name="Gain/Loss" id="10"/>
    <tableColumn totalsRowFunction="custom" name="Gain/Loss_x000a_(%)" id="11"/>
    <tableColumn name="Market Cap" id="12"/>
    <tableColumn name="P/E (TTM)" id="13"/>
    <tableColumn name="Latest Earnings" id="14"/>
    <tableColumn name="Revenue (TTM)" id="15"/>
    <tableColumn name="EBITDA_x000a_(TTM)" id="16"/>
    <tableColumn name="EBITDA (%)" id="17"/>
    <tableColumn name="PAT" id="18"/>
    <tableColumn name="PAT (%)" id="19"/>
    <tableColumn name="CFO (March 24)" id="20"/>
    <tableColumn name="CFO _x000a_(5 years)" id="21"/>
    <tableColumn name="Free Cash Flow_x000a_(5 years)" id="22"/>
    <tableColumn name="Debt to Equity" id="23"/>
    <tableColumn name="Book Value" id="24"/>
    <tableColumn name="Revenue" id="25"/>
    <tableColumn name="EBITDA" id="26"/>
    <tableColumn name="Profit" id="27"/>
    <tableColumn name="Market_x000a_Cap" id="28"/>
    <tableColumn name="Price to Sales" id="29"/>
    <tableColumn name="CFO to EBITDA" id="30"/>
    <tableColumn name="CFO to PAT" id="31"/>
    <tableColumn name="Price to book" id="32"/>
    <tableColumn name="Stage-2" id="33"/>
    <tableColumn name="Sale price" id="34"/>
    <tableColumn name="Abhishek" id="35"/>
  </tableColumns>
  <tableStyleInfo name="Priyanshu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4.25"/>
    <col customWidth="1" min="2" max="2" width="37.63"/>
    <col customWidth="1" min="3" max="3" width="15.75"/>
    <col customWidth="1" min="4" max="4" width="11.25"/>
    <col customWidth="1" min="5" max="5" width="17.0"/>
    <col customWidth="1" min="6" max="6" width="16.13"/>
    <col customWidth="1" min="7" max="7" width="12.63"/>
    <col customWidth="1" min="8" max="8" width="12.38"/>
    <col customWidth="1" min="9" max="9" width="12.5"/>
    <col customWidth="1" min="10" max="10" width="11.25"/>
    <col customWidth="1" min="11" max="11" width="16.38"/>
    <col customWidth="1" min="12" max="12" width="15.0"/>
    <col customWidth="1" min="13" max="13" width="10.63"/>
    <col customWidth="1" min="14" max="14" width="12.5"/>
    <col customWidth="1" min="15" max="15" width="15.0"/>
    <col customWidth="1" min="16" max="16" width="11.75"/>
    <col customWidth="1" min="17" max="17" width="11.5"/>
    <col customWidth="1" min="18" max="18" width="13.13"/>
    <col customWidth="1" min="19" max="19" width="10.0"/>
    <col customWidth="1" min="20" max="20" width="12.38"/>
    <col customWidth="1" min="21" max="21" width="13.13"/>
    <col customWidth="1" min="22" max="22" width="15.63"/>
    <col customWidth="1" min="23" max="23" width="10.0"/>
    <col customWidth="1" min="24" max="24" width="14.0"/>
    <col customWidth="1" min="25" max="25" width="12.25"/>
    <col customWidth="1" min="26" max="26" width="12.5"/>
    <col customWidth="1" min="27" max="27" width="11.88"/>
    <col customWidth="1" min="28" max="28" width="10.88"/>
    <col customWidth="1" min="29" max="29" width="13.75"/>
    <col customWidth="1" min="30" max="30" width="15.0"/>
    <col customWidth="1" min="31" max="32" width="13.5"/>
  </cols>
  <sheetData>
    <row r="1" ht="15.75" customHeight="1">
      <c r="A1" s="1"/>
      <c r="B1" s="1"/>
      <c r="C1" s="2"/>
      <c r="D1" s="2"/>
      <c r="E1" s="2"/>
      <c r="F1" s="3"/>
      <c r="G1" s="3"/>
      <c r="H1" s="2"/>
      <c r="I1" s="2"/>
      <c r="J1" s="2"/>
      <c r="K1" s="4"/>
      <c r="L1" s="4"/>
      <c r="M1" s="4"/>
      <c r="N1" s="5"/>
      <c r="O1" s="5" t="s">
        <v>0</v>
      </c>
      <c r="V1" s="4"/>
      <c r="W1" s="4"/>
      <c r="X1" s="6"/>
      <c r="Y1" s="4" t="s">
        <v>1</v>
      </c>
      <c r="AC1" s="4"/>
      <c r="AD1" s="4"/>
      <c r="AE1" s="4"/>
    </row>
    <row r="2" ht="15.75" customHeight="1">
      <c r="A2" s="7" t="s">
        <v>2</v>
      </c>
      <c r="B2" s="8" t="s">
        <v>3</v>
      </c>
      <c r="C2" s="9" t="s">
        <v>4</v>
      </c>
      <c r="D2" s="10" t="s">
        <v>5</v>
      </c>
      <c r="E2" s="10" t="s">
        <v>6</v>
      </c>
      <c r="F2" s="11" t="s">
        <v>7</v>
      </c>
      <c r="G2" s="12" t="s">
        <v>8</v>
      </c>
      <c r="H2" s="10" t="s">
        <v>9</v>
      </c>
      <c r="I2" s="9" t="s">
        <v>10</v>
      </c>
      <c r="J2" s="10" t="s">
        <v>11</v>
      </c>
      <c r="K2" s="13" t="s">
        <v>12</v>
      </c>
      <c r="L2" s="13" t="s">
        <v>13</v>
      </c>
      <c r="M2" s="13" t="s">
        <v>14</v>
      </c>
      <c r="N2" s="13" t="s">
        <v>15</v>
      </c>
      <c r="O2" s="13" t="s">
        <v>16</v>
      </c>
      <c r="P2" s="13" t="s">
        <v>17</v>
      </c>
      <c r="Q2" s="13" t="s">
        <v>18</v>
      </c>
      <c r="R2" s="13" t="s">
        <v>19</v>
      </c>
      <c r="S2" s="13" t="s">
        <v>20</v>
      </c>
      <c r="T2" s="13" t="s">
        <v>21</v>
      </c>
      <c r="U2" s="13" t="s">
        <v>22</v>
      </c>
      <c r="V2" s="13" t="s">
        <v>23</v>
      </c>
      <c r="W2" s="13" t="s">
        <v>24</v>
      </c>
      <c r="X2" s="14" t="s">
        <v>25</v>
      </c>
      <c r="Y2" s="13" t="s">
        <v>26</v>
      </c>
      <c r="Z2" s="13" t="s">
        <v>27</v>
      </c>
      <c r="AA2" s="13" t="s">
        <v>28</v>
      </c>
      <c r="AB2" s="13" t="s">
        <v>29</v>
      </c>
      <c r="AC2" s="13" t="s">
        <v>30</v>
      </c>
      <c r="AD2" s="13" t="s">
        <v>31</v>
      </c>
      <c r="AE2" s="13" t="s">
        <v>32</v>
      </c>
      <c r="AF2" s="13" t="s">
        <v>33</v>
      </c>
      <c r="AG2" s="13" t="s">
        <v>34</v>
      </c>
      <c r="AH2" s="10" t="s">
        <v>35</v>
      </c>
      <c r="AI2" s="15" t="s">
        <v>36</v>
      </c>
    </row>
    <row r="3" ht="15.75" customHeight="1">
      <c r="A3" s="16"/>
      <c r="B3" s="17" t="s">
        <v>37</v>
      </c>
      <c r="C3" s="18"/>
      <c r="D3" s="18"/>
      <c r="E3" s="19">
        <f t="shared" ref="E3:F3" si="1">SUM(E4:E8)</f>
        <v>328450</v>
      </c>
      <c r="F3" s="20">
        <f t="shared" si="1"/>
        <v>0.2128562726</v>
      </c>
      <c r="G3" s="21"/>
      <c r="H3" s="22"/>
      <c r="I3" s="19">
        <f t="shared" ref="I3:J3" si="2">SUM(I4:I8)</f>
        <v>234607.27</v>
      </c>
      <c r="J3" s="19">
        <f t="shared" si="2"/>
        <v>-93842.73</v>
      </c>
      <c r="K3" s="23">
        <f t="shared" ref="K3:K35" si="3">J3/E3</f>
        <v>-0.2857138986</v>
      </c>
      <c r="L3" s="24"/>
      <c r="M3" s="25"/>
      <c r="N3" s="25"/>
      <c r="O3" s="26"/>
      <c r="P3" s="27"/>
      <c r="Q3" s="28"/>
      <c r="R3" s="26"/>
      <c r="S3" s="28"/>
      <c r="T3" s="27"/>
      <c r="U3" s="27"/>
      <c r="V3" s="27"/>
      <c r="W3" s="27"/>
      <c r="X3" s="26"/>
      <c r="Y3" s="29"/>
      <c r="Z3" s="29"/>
      <c r="AA3" s="29"/>
      <c r="AB3" s="28"/>
      <c r="AC3" s="30"/>
      <c r="AD3" s="31"/>
      <c r="AE3" s="31"/>
      <c r="AF3" s="32"/>
      <c r="AG3" s="33"/>
      <c r="AH3" s="33"/>
      <c r="AI3" s="34"/>
    </row>
    <row r="4" ht="15.75" customHeight="1">
      <c r="A4" s="35">
        <v>1.0</v>
      </c>
      <c r="B4" s="36" t="s">
        <v>38</v>
      </c>
      <c r="C4" s="37">
        <v>1490.0</v>
      </c>
      <c r="D4" s="37">
        <v>50.0</v>
      </c>
      <c r="E4" s="38">
        <f t="shared" ref="E4:E8" si="4">C4*D4</f>
        <v>74500</v>
      </c>
      <c r="F4" s="39">
        <f t="shared" ref="F4:F8" si="5">E4/$E$35</f>
        <v>0.04828068902</v>
      </c>
      <c r="G4" s="40" t="s">
        <v>39</v>
      </c>
      <c r="H4" s="41">
        <f>IFERROR(__xludf.DUMMYFUNCTION("GOOGLEFINANCE(""HDFCBANK"")"),887.45)</f>
        <v>887.45</v>
      </c>
      <c r="I4" s="38">
        <f t="shared" ref="I4:I8" si="6">H4*D4</f>
        <v>44372.5</v>
      </c>
      <c r="J4" s="42">
        <f t="shared" ref="J4:J8" si="7">I4-E4</f>
        <v>-30127.5</v>
      </c>
      <c r="K4" s="43">
        <f t="shared" si="3"/>
        <v>-0.4043959732</v>
      </c>
      <c r="L4" s="44">
        <f>IFERROR(__xludf.DUMMYFUNCTION("GOOGLEFINANCE(""HDFCBANK"",""marketcap"")/10^7"),15146.3250114)</f>
        <v>15146.32501</v>
      </c>
      <c r="M4" s="45" t="str">
        <f>IFERROR(__xludf.DUMMYFUNCTION("GOOGLEFINANCE(""HDFCBANK"",""PE"")"),"#N/A")</f>
        <v>#N/A</v>
      </c>
      <c r="N4" s="45" t="str">
        <f>IFERROR(__xludf.DUMMYFUNCTION("GOOGLEFINANCE(""HDFCBANK"",""EPS"")"),"#N/A")</f>
        <v>#N/A</v>
      </c>
      <c r="O4" s="46">
        <v>321990.0</v>
      </c>
      <c r="P4" s="47">
        <v>106757.0</v>
      </c>
      <c r="Q4" s="48">
        <v>0.33</v>
      </c>
      <c r="R4" s="46">
        <v>69181.0</v>
      </c>
      <c r="S4" s="48">
        <v>0.21</v>
      </c>
      <c r="T4" s="49">
        <v>-3983.0</v>
      </c>
      <c r="U4" s="47">
        <v>85155.0</v>
      </c>
      <c r="V4" s="47"/>
      <c r="W4" s="47">
        <v>7.0</v>
      </c>
      <c r="X4" s="46">
        <v>692.74</v>
      </c>
      <c r="Y4" s="50">
        <v>0.3019</v>
      </c>
      <c r="Z4" s="50">
        <v>0.5023</v>
      </c>
      <c r="AA4" s="50">
        <v>0.2625</v>
      </c>
      <c r="AB4" s="48">
        <v>0.1</v>
      </c>
      <c r="AC4" s="51">
        <f t="shared" ref="AC4:AC8" si="8">L4/O4</f>
        <v>0.04703973729</v>
      </c>
      <c r="AD4" s="52">
        <f t="shared" ref="AD4:AD8" si="9">P4/T4</f>
        <v>-26.80316344</v>
      </c>
      <c r="AE4" s="53">
        <f t="shared" ref="AE4:AE8" si="10">R4/T4</f>
        <v>-17.36906854</v>
      </c>
      <c r="AF4" s="54">
        <f t="shared" ref="AF4:AF8" si="11">H4/X4</f>
        <v>1.281072264</v>
      </c>
      <c r="AG4" s="45" t="s">
        <v>40</v>
      </c>
      <c r="AH4" s="45"/>
      <c r="AI4" s="55"/>
    </row>
    <row r="5" ht="15.75" customHeight="1">
      <c r="A5" s="56">
        <v>2.0</v>
      </c>
      <c r="B5" s="57" t="s">
        <v>41</v>
      </c>
      <c r="C5" s="58">
        <v>6466.0</v>
      </c>
      <c r="D5" s="58">
        <v>15.0</v>
      </c>
      <c r="E5" s="59">
        <f t="shared" si="4"/>
        <v>96990</v>
      </c>
      <c r="F5" s="60">
        <f t="shared" si="5"/>
        <v>0.06285562454</v>
      </c>
      <c r="G5" s="61" t="s">
        <v>42</v>
      </c>
      <c r="H5" s="62">
        <f>IFERROR(__xludf.DUMMYFUNCTION("GOOGLEFINANCE(""BAJFINANCE"")"),996.75)</f>
        <v>996.75</v>
      </c>
      <c r="I5" s="59">
        <f t="shared" si="6"/>
        <v>14951.25</v>
      </c>
      <c r="J5" s="42">
        <f t="shared" si="7"/>
        <v>-82038.75</v>
      </c>
      <c r="K5" s="63">
        <f t="shared" si="3"/>
        <v>-0.8458475101</v>
      </c>
      <c r="L5" s="64">
        <f>IFERROR(__xludf.DUMMYFUNCTION("GOOGLEFINANCE(""BAJFINANCE"",""marketcap"")/10^7"),61902.71951)</f>
        <v>61902.71951</v>
      </c>
      <c r="M5" s="65" t="str">
        <f>IFERROR(__xludf.DUMMYFUNCTION("GOOGLEFINANCE(""BAJFINANCE"",""PE"")"),"#N/A")</f>
        <v>#N/A</v>
      </c>
      <c r="N5" s="65" t="str">
        <f>IFERROR(__xludf.DUMMYFUNCTION("GOOGLEFINANCE(""BAJFINANCE"",""EPS"")"),"#N/A")</f>
        <v>#N/A</v>
      </c>
      <c r="O5" s="66">
        <v>62279.0</v>
      </c>
      <c r="P5" s="67">
        <v>43336.0</v>
      </c>
      <c r="Q5" s="68">
        <v>0.7</v>
      </c>
      <c r="R5" s="66">
        <v>15375.0</v>
      </c>
      <c r="S5" s="68">
        <v>0.25</v>
      </c>
      <c r="T5" s="67">
        <v>82415.0</v>
      </c>
      <c r="U5" s="67">
        <v>201273.0</v>
      </c>
      <c r="V5" s="67"/>
      <c r="W5" s="67">
        <v>4.0</v>
      </c>
      <c r="X5" s="66">
        <v>1252.78</v>
      </c>
      <c r="Y5" s="69">
        <v>0.2726</v>
      </c>
      <c r="Z5" s="69">
        <v>0.6823</v>
      </c>
      <c r="AA5" s="69">
        <v>0.4842</v>
      </c>
      <c r="AB5" s="68">
        <v>0.13</v>
      </c>
      <c r="AC5" s="70">
        <f t="shared" si="8"/>
        <v>0.9939581482</v>
      </c>
      <c r="AD5" s="52">
        <f t="shared" si="9"/>
        <v>0.5258266092</v>
      </c>
      <c r="AE5" s="53">
        <f t="shared" si="10"/>
        <v>0.1865558454</v>
      </c>
      <c r="AF5" s="71">
        <f t="shared" si="11"/>
        <v>0.7956305177</v>
      </c>
      <c r="AG5" s="72" t="s">
        <v>2</v>
      </c>
      <c r="AH5" s="73"/>
      <c r="AI5" s="74" t="s">
        <v>43</v>
      </c>
    </row>
    <row r="6" ht="15.75" customHeight="1">
      <c r="A6" s="35">
        <v>3.0</v>
      </c>
      <c r="B6" s="36" t="s">
        <v>44</v>
      </c>
      <c r="C6" s="37">
        <v>780.0</v>
      </c>
      <c r="D6" s="37">
        <v>84.0</v>
      </c>
      <c r="E6" s="38">
        <f t="shared" si="4"/>
        <v>65520</v>
      </c>
      <c r="F6" s="39">
        <f t="shared" si="5"/>
        <v>0.04246108382</v>
      </c>
      <c r="G6" s="40">
        <v>532174.0</v>
      </c>
      <c r="H6" s="41">
        <f>IFERROR(__xludf.DUMMYFUNCTION("GOOGLEFINANCE(""532174"")"),1379.0)</f>
        <v>1379</v>
      </c>
      <c r="I6" s="38">
        <f t="shared" si="6"/>
        <v>115836</v>
      </c>
      <c r="J6" s="42">
        <f t="shared" si="7"/>
        <v>50316</v>
      </c>
      <c r="K6" s="43">
        <f t="shared" si="3"/>
        <v>0.7679487179</v>
      </c>
      <c r="L6" s="44">
        <f>IFERROR(__xludf.DUMMYFUNCTION("GOOGLEFINANCE(""532174"",""marketcap"")/10^7"),10978.6666153)</f>
        <v>10978.66662</v>
      </c>
      <c r="M6" s="45" t="str">
        <f>IFERROR(__xludf.DUMMYFUNCTION("GOOGLEFINANCE(""532174"",""PE"")"),"#N/A")</f>
        <v>#N/A</v>
      </c>
      <c r="N6" s="45" t="str">
        <f>IFERROR(__xludf.DUMMYFUNCTION("GOOGLEFINANCE(""532174"",""EPS"")"),"#N/A")</f>
        <v>#N/A</v>
      </c>
      <c r="O6" s="46">
        <v>174379.0</v>
      </c>
      <c r="P6" s="47">
        <v>57238.0</v>
      </c>
      <c r="Q6" s="48">
        <v>0.33</v>
      </c>
      <c r="R6" s="46">
        <v>47368.0</v>
      </c>
      <c r="S6" s="48">
        <v>0.27</v>
      </c>
      <c r="T6" s="47">
        <v>13765.0</v>
      </c>
      <c r="U6" s="47">
        <v>4332.0</v>
      </c>
      <c r="V6" s="47"/>
      <c r="W6" s="47">
        <v>6.0</v>
      </c>
      <c r="X6" s="46">
        <v>365.79</v>
      </c>
      <c r="Y6" s="50">
        <v>0.214</v>
      </c>
      <c r="Z6" s="50">
        <v>0.2866</v>
      </c>
      <c r="AA6" s="50">
        <v>0.3402</v>
      </c>
      <c r="AB6" s="48">
        <v>0.24</v>
      </c>
      <c r="AC6" s="51">
        <f t="shared" si="8"/>
        <v>0.06295865107</v>
      </c>
      <c r="AD6" s="75">
        <f t="shared" si="9"/>
        <v>4.158227388</v>
      </c>
      <c r="AE6" s="75">
        <f t="shared" si="10"/>
        <v>3.441191428</v>
      </c>
      <c r="AF6" s="71">
        <f t="shared" si="11"/>
        <v>3.769922633</v>
      </c>
      <c r="AG6" s="76" t="s">
        <v>40</v>
      </c>
      <c r="AH6" s="76"/>
      <c r="AI6" s="77"/>
    </row>
    <row r="7" ht="15.75" customHeight="1">
      <c r="A7" s="56">
        <v>4.0</v>
      </c>
      <c r="B7" s="78" t="s">
        <v>45</v>
      </c>
      <c r="C7" s="58">
        <v>130.0</v>
      </c>
      <c r="D7" s="58">
        <v>504.0</v>
      </c>
      <c r="E7" s="59">
        <f t="shared" si="4"/>
        <v>65520</v>
      </c>
      <c r="F7" s="60">
        <f t="shared" si="5"/>
        <v>0.04246108382</v>
      </c>
      <c r="G7" s="79">
        <v>544252.0</v>
      </c>
      <c r="H7" s="62">
        <f>IFERROR(__xludf.DUMMYFUNCTION("GOOGLEFINANCE(""544252"")"),87.03)</f>
        <v>87.03</v>
      </c>
      <c r="I7" s="59">
        <f t="shared" si="6"/>
        <v>43863.12</v>
      </c>
      <c r="J7" s="80">
        <f t="shared" si="7"/>
        <v>-21656.88</v>
      </c>
      <c r="K7" s="63">
        <f t="shared" si="3"/>
        <v>-0.3305384615</v>
      </c>
      <c r="L7" s="64">
        <f>IFERROR(__xludf.DUMMYFUNCTION("GOOGLEFINANCE(""543940"",""marketcap"")/10^7"),162642.9393075)</f>
        <v>162642.9393</v>
      </c>
      <c r="M7" s="81" t="str">
        <f>IFERROR(__xludf.DUMMYFUNCTION("GOOGLEFINANCE(""543940"",""PE"")"),"#N/A")</f>
        <v>#N/A</v>
      </c>
      <c r="N7" s="65" t="str">
        <f>IFERROR(__xludf.DUMMYFUNCTION("GOOGLEFINANCE(""543940"",""EPS"")"),"#N/A")</f>
        <v>#N/A</v>
      </c>
      <c r="O7" s="66">
        <v>8527.0</v>
      </c>
      <c r="P7" s="67">
        <v>7783.0</v>
      </c>
      <c r="Q7" s="68">
        <v>0.91</v>
      </c>
      <c r="R7" s="66">
        <v>1861.0</v>
      </c>
      <c r="S7" s="68">
        <v>0.22</v>
      </c>
      <c r="T7" s="67">
        <v>15125.0</v>
      </c>
      <c r="U7" s="67">
        <v>46789.0</v>
      </c>
      <c r="V7" s="67"/>
      <c r="W7" s="67">
        <v>6.0</v>
      </c>
      <c r="X7" s="66">
        <v>18.23</v>
      </c>
      <c r="Y7" s="69">
        <v>0.3416</v>
      </c>
      <c r="Z7" s="69">
        <v>0.879</v>
      </c>
      <c r="AA7" s="69">
        <v>0.5632</v>
      </c>
      <c r="AB7" s="67"/>
      <c r="AC7" s="70">
        <f t="shared" si="8"/>
        <v>19.07387584</v>
      </c>
      <c r="AD7" s="52">
        <f t="shared" si="9"/>
        <v>0.5145785124</v>
      </c>
      <c r="AE7" s="53">
        <f t="shared" si="10"/>
        <v>0.1230413223</v>
      </c>
      <c r="AF7" s="82">
        <f t="shared" si="11"/>
        <v>4.773998903</v>
      </c>
      <c r="AG7" s="65" t="s">
        <v>46</v>
      </c>
      <c r="AH7" s="65"/>
      <c r="AI7" s="83"/>
    </row>
    <row r="8" ht="15.75" customHeight="1">
      <c r="A8" s="35">
        <v>5.0</v>
      </c>
      <c r="B8" s="84" t="s">
        <v>47</v>
      </c>
      <c r="C8" s="37">
        <v>24.0</v>
      </c>
      <c r="D8" s="37">
        <v>1080.0</v>
      </c>
      <c r="E8" s="38">
        <f t="shared" si="4"/>
        <v>25920</v>
      </c>
      <c r="F8" s="39">
        <f t="shared" si="5"/>
        <v>0.0167977914</v>
      </c>
      <c r="G8" s="85">
        <v>511577.0</v>
      </c>
      <c r="H8" s="41">
        <f>IFERROR(__xludf.DUMMYFUNCTION("GOOGLEFINANCE(""511577"")"),14.43)</f>
        <v>14.43</v>
      </c>
      <c r="I8" s="38">
        <f t="shared" si="6"/>
        <v>15584.4</v>
      </c>
      <c r="J8" s="80">
        <f t="shared" si="7"/>
        <v>-10335.6</v>
      </c>
      <c r="K8" s="43">
        <f t="shared" si="3"/>
        <v>-0.39875</v>
      </c>
      <c r="L8" s="44">
        <f>IFERROR(__xludf.DUMMYFUNCTION("GOOGLEFINANCE(""511577"",""marketcap"")/10^7"),46.1760009)</f>
        <v>46.1760009</v>
      </c>
      <c r="M8" s="45" t="str">
        <f>IFERROR(__xludf.DUMMYFUNCTION("GOOGLEFINANCE(""511577"",""PE"")"),"#N/A")</f>
        <v>#N/A</v>
      </c>
      <c r="N8" s="45" t="str">
        <f>IFERROR(__xludf.DUMMYFUNCTION("GOOGLEFINANCE(""511577"",""EPS"")"),"#N/A")</f>
        <v>#N/A</v>
      </c>
      <c r="O8" s="86"/>
      <c r="P8" s="45"/>
      <c r="Q8" s="45"/>
      <c r="R8" s="87"/>
      <c r="S8" s="45"/>
      <c r="T8" s="45"/>
      <c r="U8" s="45"/>
      <c r="V8" s="45"/>
      <c r="W8" s="45"/>
      <c r="X8" s="87"/>
      <c r="Y8" s="45"/>
      <c r="Z8" s="45"/>
      <c r="AA8" s="45"/>
      <c r="AB8" s="45"/>
      <c r="AC8" s="51" t="str">
        <f t="shared" si="8"/>
        <v>#DIV/0!</v>
      </c>
      <c r="AD8" s="75" t="str">
        <f t="shared" si="9"/>
        <v>#DIV/0!</v>
      </c>
      <c r="AE8" s="75" t="str">
        <f t="shared" si="10"/>
        <v>#DIV/0!</v>
      </c>
      <c r="AF8" s="54" t="str">
        <f t="shared" si="11"/>
        <v>#DIV/0!</v>
      </c>
      <c r="AG8" s="45" t="s">
        <v>46</v>
      </c>
      <c r="AH8" s="45"/>
      <c r="AI8" s="55"/>
    </row>
    <row r="9" ht="15.75" customHeight="1">
      <c r="A9" s="16"/>
      <c r="B9" s="17" t="s">
        <v>48</v>
      </c>
      <c r="C9" s="18"/>
      <c r="D9" s="18"/>
      <c r="E9" s="19">
        <f t="shared" ref="E9:F9" si="12">SUM(E10:E15)</f>
        <v>337820</v>
      </c>
      <c r="F9" s="20">
        <f t="shared" si="12"/>
        <v>0.2189286223</v>
      </c>
      <c r="G9" s="21"/>
      <c r="H9" s="22"/>
      <c r="I9" s="19" t="str">
        <f t="shared" ref="I9:J9" si="13">SUM(I10:I15)</f>
        <v>#N/A</v>
      </c>
      <c r="J9" s="19" t="str">
        <f t="shared" si="13"/>
        <v>#N/A</v>
      </c>
      <c r="K9" s="23" t="str">
        <f t="shared" si="3"/>
        <v>#N/A</v>
      </c>
      <c r="L9" s="24"/>
      <c r="M9" s="25"/>
      <c r="N9" s="25"/>
      <c r="O9" s="26"/>
      <c r="P9" s="27"/>
      <c r="Q9" s="28"/>
      <c r="R9" s="26"/>
      <c r="S9" s="28"/>
      <c r="T9" s="27"/>
      <c r="U9" s="27"/>
      <c r="V9" s="27"/>
      <c r="W9" s="27"/>
      <c r="X9" s="26"/>
      <c r="Y9" s="29"/>
      <c r="Z9" s="29"/>
      <c r="AA9" s="29"/>
      <c r="AB9" s="28"/>
      <c r="AC9" s="30"/>
      <c r="AD9" s="31"/>
      <c r="AE9" s="31"/>
      <c r="AF9" s="32"/>
      <c r="AG9" s="33"/>
      <c r="AH9" s="33"/>
      <c r="AI9" s="34"/>
    </row>
    <row r="10" ht="15.75" customHeight="1">
      <c r="A10" s="35">
        <v>1.0</v>
      </c>
      <c r="B10" s="36" t="s">
        <v>49</v>
      </c>
      <c r="C10" s="37">
        <v>1151.0</v>
      </c>
      <c r="D10" s="37">
        <v>50.0</v>
      </c>
      <c r="E10" s="38">
        <f t="shared" ref="E10:E15" si="14">C10*D10</f>
        <v>57550</v>
      </c>
      <c r="F10" s="39">
        <f t="shared" ref="F10:F15" si="15">E10/$E$35</f>
        <v>0.03729602219</v>
      </c>
      <c r="G10" s="40" t="s">
        <v>50</v>
      </c>
      <c r="H10" s="41">
        <f>IFERROR(__xludf.DUMMYFUNCTION("GOOGLEFINANCE(""AFFLE"")"),1374.0)</f>
        <v>1374</v>
      </c>
      <c r="I10" s="38">
        <f t="shared" ref="I10:I15" si="16">H10*D10</f>
        <v>68700</v>
      </c>
      <c r="J10" s="42">
        <f t="shared" ref="J10:J15" si="17">I10-E10</f>
        <v>11150</v>
      </c>
      <c r="K10" s="43">
        <f t="shared" si="3"/>
        <v>0.1937445699</v>
      </c>
      <c r="L10" s="44">
        <f>IFERROR(__xludf.DUMMYFUNCTION("GOOGLEFINANCE(""AFFLE"",""marketcap"")/10^7"),19422.13625)</f>
        <v>19422.13625</v>
      </c>
      <c r="M10" s="45" t="str">
        <f>IFERROR(__xludf.DUMMYFUNCTION("GOOGLEFINANCE(""AFFLE"",""PE"")"),"#N/A")</f>
        <v>#N/A</v>
      </c>
      <c r="N10" s="45" t="str">
        <f>IFERROR(__xludf.DUMMYFUNCTION("GOOGLEFINANCE(""AFFLE"",""EPS"")"),"#N/A")</f>
        <v>#N/A</v>
      </c>
      <c r="O10" s="46">
        <v>2067.0</v>
      </c>
      <c r="P10" s="47">
        <v>412.0</v>
      </c>
      <c r="Q10" s="48">
        <v>0.2</v>
      </c>
      <c r="R10" s="46">
        <v>343.0</v>
      </c>
      <c r="S10" s="48">
        <v>0.17</v>
      </c>
      <c r="T10" s="47">
        <v>262.0</v>
      </c>
      <c r="U10" s="47">
        <v>902.0</v>
      </c>
      <c r="V10" s="88">
        <v>-281.0</v>
      </c>
      <c r="W10" s="47">
        <v>0.0</v>
      </c>
      <c r="X10" s="46">
        <v>183.0</v>
      </c>
      <c r="Y10" s="50">
        <v>0.5278</v>
      </c>
      <c r="Z10" s="50">
        <v>0.1975</v>
      </c>
      <c r="AA10" s="50">
        <v>0.3016</v>
      </c>
      <c r="AB10" s="48">
        <v>0.02</v>
      </c>
      <c r="AC10" s="51">
        <f t="shared" ref="AC10:AC15" si="18">L10/O10</f>
        <v>9.396292332</v>
      </c>
      <c r="AD10" s="75">
        <f t="shared" ref="AD10:AD15" si="19">P10/T10</f>
        <v>1.572519084</v>
      </c>
      <c r="AE10" s="75">
        <f t="shared" ref="AE10:AE15" si="20">R10/T10</f>
        <v>1.309160305</v>
      </c>
      <c r="AF10" s="54">
        <f t="shared" ref="AF10:AF15" si="21">H10/X10</f>
        <v>7.508196721</v>
      </c>
      <c r="AG10" s="45" t="s">
        <v>40</v>
      </c>
      <c r="AH10" s="45"/>
      <c r="AI10" s="55"/>
    </row>
    <row r="11" ht="15.75" customHeight="1">
      <c r="A11" s="56">
        <v>2.0</v>
      </c>
      <c r="B11" s="57" t="s">
        <v>51</v>
      </c>
      <c r="C11" s="58">
        <v>4775.0</v>
      </c>
      <c r="D11" s="58">
        <v>16.0</v>
      </c>
      <c r="E11" s="59">
        <f t="shared" si="14"/>
        <v>76400</v>
      </c>
      <c r="F11" s="60">
        <f t="shared" si="15"/>
        <v>0.04951200861</v>
      </c>
      <c r="G11" s="61" t="s">
        <v>52</v>
      </c>
      <c r="H11" s="62" t="str">
        <f>IFERROR(__xludf.DUMMYFUNCTION("GOOGLEFINANCE(""LTIM"")"),"#N/A")</f>
        <v>#N/A</v>
      </c>
      <c r="I11" s="59" t="str">
        <f t="shared" si="16"/>
        <v>#N/A</v>
      </c>
      <c r="J11" s="42" t="str">
        <f t="shared" si="17"/>
        <v>#N/A</v>
      </c>
      <c r="K11" s="63" t="str">
        <f t="shared" si="3"/>
        <v>#N/A</v>
      </c>
      <c r="L11" s="64" t="str">
        <f>IFERROR(__xludf.DUMMYFUNCTION("GOOGLEFINANCE(""LTIM"",""marketcap"")/10^7"),"#N/A")</f>
        <v>#N/A</v>
      </c>
      <c r="M11" s="65" t="str">
        <f>IFERROR(__xludf.DUMMYFUNCTION("GOOGLEFINANCE(""LTIM"",""PE"")"),"#N/A")</f>
        <v>#N/A</v>
      </c>
      <c r="N11" s="65" t="str">
        <f>IFERROR(__xludf.DUMMYFUNCTION("GOOGLEFINANCE(""LTIM"",""EPS"")"),"#N/A")</f>
        <v>#N/A</v>
      </c>
      <c r="O11" s="66">
        <v>36485.0</v>
      </c>
      <c r="P11" s="67">
        <v>6426.0</v>
      </c>
      <c r="Q11" s="68">
        <v>0.18</v>
      </c>
      <c r="R11" s="66">
        <v>4654.0</v>
      </c>
      <c r="S11" s="68">
        <v>0.13</v>
      </c>
      <c r="T11" s="67">
        <v>5670.0</v>
      </c>
      <c r="U11" s="67">
        <v>16058.0</v>
      </c>
      <c r="V11" s="67">
        <v>11468.0</v>
      </c>
      <c r="W11" s="67">
        <v>0.0</v>
      </c>
      <c r="X11" s="66">
        <v>676.0</v>
      </c>
      <c r="Y11" s="69">
        <v>0.4213</v>
      </c>
      <c r="Z11" s="69">
        <v>0.1872</v>
      </c>
      <c r="AA11" s="69">
        <v>0.3326</v>
      </c>
      <c r="AB11" s="68">
        <v>0.27</v>
      </c>
      <c r="AC11" s="70" t="str">
        <f t="shared" si="18"/>
        <v>#N/A</v>
      </c>
      <c r="AD11" s="89">
        <f t="shared" si="19"/>
        <v>1.133333333</v>
      </c>
      <c r="AE11" s="89">
        <f t="shared" si="20"/>
        <v>0.8208112875</v>
      </c>
      <c r="AF11" s="82" t="str">
        <f t="shared" si="21"/>
        <v>#N/A</v>
      </c>
      <c r="AG11" s="90" t="s">
        <v>2</v>
      </c>
      <c r="AH11" s="65"/>
      <c r="AI11" s="83"/>
    </row>
    <row r="12" ht="15.75" customHeight="1">
      <c r="A12" s="35">
        <v>3.0</v>
      </c>
      <c r="B12" s="36" t="s">
        <v>53</v>
      </c>
      <c r="C12" s="37">
        <v>672.0</v>
      </c>
      <c r="D12" s="37">
        <v>61.0</v>
      </c>
      <c r="E12" s="38">
        <f t="shared" si="14"/>
        <v>40992</v>
      </c>
      <c r="F12" s="39">
        <f t="shared" si="15"/>
        <v>0.02656539603</v>
      </c>
      <c r="G12" s="40">
        <v>542651.0</v>
      </c>
      <c r="H12" s="41">
        <f>IFERROR(__xludf.DUMMYFUNCTION("GOOGLEFINANCE(""542651"")"),771.6)</f>
        <v>771.6</v>
      </c>
      <c r="I12" s="38">
        <f t="shared" si="16"/>
        <v>47067.6</v>
      </c>
      <c r="J12" s="42">
        <f t="shared" si="17"/>
        <v>6075.6</v>
      </c>
      <c r="K12" s="43">
        <f t="shared" si="3"/>
        <v>0.1482142857</v>
      </c>
      <c r="L12" s="44">
        <f>IFERROR(__xludf.DUMMYFUNCTION("GOOGLEFINANCE(""542651"",""marketcap"")/10^7"),20967.0410725)</f>
        <v>20967.04107</v>
      </c>
      <c r="M12" s="45" t="str">
        <f>IFERROR(__xludf.DUMMYFUNCTION("GOOGLEFINANCE(""542651"",""PE"")"),"#N/A")</f>
        <v>#N/A</v>
      </c>
      <c r="N12" s="45" t="str">
        <f>IFERROR(__xludf.DUMMYFUNCTION("GOOGLEFINANCE(""542651"",""EPS"")"),"#N/A")</f>
        <v>#N/A</v>
      </c>
      <c r="O12" s="46">
        <v>5411.0</v>
      </c>
      <c r="P12" s="47">
        <v>1116.0</v>
      </c>
      <c r="Q12" s="48">
        <v>0.21</v>
      </c>
      <c r="R12" s="46">
        <v>728.0</v>
      </c>
      <c r="S12" s="48">
        <v>0.13</v>
      </c>
      <c r="T12" s="47">
        <v>1002.0</v>
      </c>
      <c r="U12" s="47">
        <v>2956.0</v>
      </c>
      <c r="V12" s="47">
        <v>1402.0</v>
      </c>
      <c r="W12" s="47">
        <v>0.0</v>
      </c>
      <c r="X12" s="46">
        <v>78.0</v>
      </c>
      <c r="Y12" s="50">
        <v>0.3376</v>
      </c>
      <c r="Z12" s="50">
        <v>0.1945</v>
      </c>
      <c r="AA12" s="50">
        <v>0.5964</v>
      </c>
      <c r="AB12" s="48">
        <v>1.03</v>
      </c>
      <c r="AC12" s="51">
        <f t="shared" si="18"/>
        <v>3.874892085</v>
      </c>
      <c r="AD12" s="75">
        <f t="shared" si="19"/>
        <v>1.113772455</v>
      </c>
      <c r="AE12" s="75">
        <f t="shared" si="20"/>
        <v>0.7265469062</v>
      </c>
      <c r="AF12" s="91">
        <f t="shared" si="21"/>
        <v>9.892307692</v>
      </c>
      <c r="AG12" s="90" t="s">
        <v>2</v>
      </c>
      <c r="AH12" s="45"/>
      <c r="AI12" s="92" t="s">
        <v>54</v>
      </c>
    </row>
    <row r="13" ht="15.75" customHeight="1">
      <c r="A13" s="56">
        <v>4.0</v>
      </c>
      <c r="B13" s="93" t="s">
        <v>55</v>
      </c>
      <c r="C13" s="58">
        <v>1072.0</v>
      </c>
      <c r="D13" s="58">
        <v>63.0</v>
      </c>
      <c r="E13" s="59">
        <f t="shared" si="14"/>
        <v>67536</v>
      </c>
      <c r="F13" s="60">
        <f t="shared" si="15"/>
        <v>0.04376757871</v>
      </c>
      <c r="G13" s="79">
        <v>544028.0</v>
      </c>
      <c r="H13" s="62">
        <f>IFERROR(__xludf.DUMMYFUNCTION("GOOGLEFINANCE(""544028"")"),585.45)</f>
        <v>585.45</v>
      </c>
      <c r="I13" s="59">
        <f t="shared" si="16"/>
        <v>36883.35</v>
      </c>
      <c r="J13" s="80">
        <f t="shared" si="17"/>
        <v>-30652.65</v>
      </c>
      <c r="K13" s="63">
        <f t="shared" si="3"/>
        <v>-0.4538712687</v>
      </c>
      <c r="L13" s="64">
        <f>IFERROR(__xludf.DUMMYFUNCTION("GOOGLEFINANCE(""544028"",""marketcap"")/10^7"),23746.4028181)</f>
        <v>23746.40282</v>
      </c>
      <c r="M13" s="65" t="str">
        <f>IFERROR(__xludf.DUMMYFUNCTION("GOOGLEFINANCE(""544028"",""PE"")"),"#N/A")</f>
        <v>#N/A</v>
      </c>
      <c r="N13" s="65" t="str">
        <f>IFERROR(__xludf.DUMMYFUNCTION("GOOGLEFINANCE(""544028"",""EPS"")"),"#N/A")</f>
        <v>#N/A</v>
      </c>
      <c r="O13" s="66">
        <v>5156.0</v>
      </c>
      <c r="P13" s="67">
        <v>943.0</v>
      </c>
      <c r="Q13" s="68">
        <v>0.18</v>
      </c>
      <c r="R13" s="66">
        <v>647.0</v>
      </c>
      <c r="S13" s="68">
        <v>0.13</v>
      </c>
      <c r="T13" s="67">
        <v>294.0</v>
      </c>
      <c r="U13" s="67">
        <v>2037.0</v>
      </c>
      <c r="V13" s="67">
        <v>1731.0</v>
      </c>
      <c r="W13" s="67">
        <v>0.0</v>
      </c>
      <c r="X13" s="66">
        <v>79.0</v>
      </c>
      <c r="Y13" s="69">
        <v>0.2905</v>
      </c>
      <c r="Z13" s="69">
        <v>0.1844</v>
      </c>
      <c r="AA13" s="69">
        <v>0.4162</v>
      </c>
      <c r="AB13" s="65"/>
      <c r="AC13" s="70">
        <f t="shared" si="18"/>
        <v>4.605586272</v>
      </c>
      <c r="AD13" s="89">
        <f t="shared" si="19"/>
        <v>3.207482993</v>
      </c>
      <c r="AE13" s="89">
        <f t="shared" si="20"/>
        <v>2.200680272</v>
      </c>
      <c r="AF13" s="82">
        <f t="shared" si="21"/>
        <v>7.410759494</v>
      </c>
      <c r="AG13" s="90" t="s">
        <v>2</v>
      </c>
      <c r="AH13" s="65"/>
      <c r="AI13" s="92" t="s">
        <v>54</v>
      </c>
    </row>
    <row r="14" ht="15.75" customHeight="1">
      <c r="A14" s="35">
        <v>5.0</v>
      </c>
      <c r="B14" s="84" t="s">
        <v>56</v>
      </c>
      <c r="C14" s="37">
        <v>232.0</v>
      </c>
      <c r="D14" s="37">
        <v>191.0</v>
      </c>
      <c r="E14" s="38">
        <f t="shared" si="14"/>
        <v>44312</v>
      </c>
      <c r="F14" s="39">
        <f t="shared" si="15"/>
        <v>0.02871696499</v>
      </c>
      <c r="G14" s="85">
        <v>544107.0</v>
      </c>
      <c r="H14" s="41">
        <f>IFERROR(__xludf.DUMMYFUNCTION("GOOGLEFINANCE(""544107"")"),146.25)</f>
        <v>146.25</v>
      </c>
      <c r="I14" s="38">
        <f t="shared" si="16"/>
        <v>27933.75</v>
      </c>
      <c r="J14" s="80">
        <f t="shared" si="17"/>
        <v>-16378.25</v>
      </c>
      <c r="K14" s="43">
        <f t="shared" si="3"/>
        <v>-0.369612069</v>
      </c>
      <c r="L14" s="44">
        <f>IFERROR(__xludf.DUMMYFUNCTION("GOOGLEFINANCE(""544107"",""marketcap"")/10^7"),1331.7083798)</f>
        <v>1331.70838</v>
      </c>
      <c r="M14" s="45" t="str">
        <f>IFERROR(__xludf.DUMMYFUNCTION("GOOGLEFINANCE(""544107"",""PE"")"),"#N/A")</f>
        <v>#N/A</v>
      </c>
      <c r="N14" s="45" t="str">
        <f>IFERROR(__xludf.DUMMYFUNCTION("GOOGLEFINANCE(""544107"",""EPS"")"),"#N/A")</f>
        <v>#N/A</v>
      </c>
      <c r="O14" s="46">
        <v>298.0</v>
      </c>
      <c r="P14" s="47">
        <v>46.0</v>
      </c>
      <c r="Q14" s="48">
        <v>0.16</v>
      </c>
      <c r="R14" s="46">
        <v>44.0</v>
      </c>
      <c r="S14" s="48">
        <v>0.15</v>
      </c>
      <c r="T14" s="47">
        <v>20.0</v>
      </c>
      <c r="U14" s="47">
        <v>77.0</v>
      </c>
      <c r="V14" s="88">
        <v>-16.0</v>
      </c>
      <c r="W14" s="47">
        <v>0.0</v>
      </c>
      <c r="X14" s="46">
        <v>55.0</v>
      </c>
      <c r="Y14" s="50">
        <v>0.6721</v>
      </c>
      <c r="Z14" s="50">
        <v>0.1279</v>
      </c>
      <c r="AA14" s="50">
        <v>1.1522</v>
      </c>
      <c r="AB14" s="45"/>
      <c r="AC14" s="51">
        <f t="shared" si="18"/>
        <v>4.468820066</v>
      </c>
      <c r="AD14" s="75">
        <f t="shared" si="19"/>
        <v>2.3</v>
      </c>
      <c r="AE14" s="75">
        <f t="shared" si="20"/>
        <v>2.2</v>
      </c>
      <c r="AF14" s="54">
        <f t="shared" si="21"/>
        <v>2.659090909</v>
      </c>
      <c r="AG14" s="45" t="s">
        <v>40</v>
      </c>
      <c r="AH14" s="45"/>
      <c r="AI14" s="55"/>
    </row>
    <row r="15" ht="15.75" customHeight="1">
      <c r="A15" s="56">
        <v>6.0</v>
      </c>
      <c r="B15" s="94" t="s">
        <v>57</v>
      </c>
      <c r="C15" s="58">
        <v>1134.0</v>
      </c>
      <c r="D15" s="58">
        <v>45.0</v>
      </c>
      <c r="E15" s="59">
        <f t="shared" si="14"/>
        <v>51030</v>
      </c>
      <c r="F15" s="60">
        <f t="shared" si="15"/>
        <v>0.03307065182</v>
      </c>
      <c r="G15" s="79">
        <v>532790.0</v>
      </c>
      <c r="H15" s="62">
        <f>IFERROR(__xludf.DUMMYFUNCTION("GOOGLEFINANCE(""532790"")"),455.0)</f>
        <v>455</v>
      </c>
      <c r="I15" s="59">
        <f t="shared" si="16"/>
        <v>20475</v>
      </c>
      <c r="J15" s="80">
        <f t="shared" si="17"/>
        <v>-30555</v>
      </c>
      <c r="K15" s="63">
        <f t="shared" si="3"/>
        <v>-0.5987654321</v>
      </c>
      <c r="L15" s="64">
        <f>IFERROR(__xludf.DUMMYFUNCTION("GOOGLEFINANCE(""532790"",""marketcap"")/10^7"),6005.89535)</f>
        <v>6005.89535</v>
      </c>
      <c r="M15" s="65" t="str">
        <f>IFERROR(__xludf.DUMMYFUNCTION("GOOGLEFINANCE(""532790"",""PE"")"),"#N/A")</f>
        <v>#N/A</v>
      </c>
      <c r="N15" s="65" t="str">
        <f>IFERROR(__xludf.DUMMYFUNCTION("GOOGLEFINANCE(""543664"",""EPS"")"),"#N/A")</f>
        <v>#N/A</v>
      </c>
      <c r="O15" s="66">
        <v>4011.0</v>
      </c>
      <c r="P15" s="67">
        <v>717.0</v>
      </c>
      <c r="Q15" s="68">
        <v>0.18</v>
      </c>
      <c r="R15" s="66">
        <v>542.0</v>
      </c>
      <c r="S15" s="68">
        <v>0.14</v>
      </c>
      <c r="T15" s="67">
        <v>590.0</v>
      </c>
      <c r="U15" s="67">
        <v>2124.0</v>
      </c>
      <c r="V15" s="67">
        <v>1675.0</v>
      </c>
      <c r="W15" s="67">
        <v>0.0</v>
      </c>
      <c r="X15" s="66">
        <v>144.0</v>
      </c>
      <c r="Y15" s="69">
        <v>0.1882</v>
      </c>
      <c r="Z15" s="69">
        <v>0.1933</v>
      </c>
      <c r="AA15" s="69">
        <v>0.1547</v>
      </c>
      <c r="AB15" s="68">
        <v>0.0</v>
      </c>
      <c r="AC15" s="70">
        <f t="shared" si="18"/>
        <v>1.497356108</v>
      </c>
      <c r="AD15" s="89">
        <f t="shared" si="19"/>
        <v>1.215254237</v>
      </c>
      <c r="AE15" s="89">
        <f t="shared" si="20"/>
        <v>0.9186440678</v>
      </c>
      <c r="AF15" s="82">
        <f t="shared" si="21"/>
        <v>3.159722222</v>
      </c>
      <c r="AG15" s="90" t="s">
        <v>2</v>
      </c>
      <c r="AH15" s="65"/>
      <c r="AI15" s="83"/>
    </row>
    <row r="16" ht="15.75" customHeight="1">
      <c r="A16" s="95"/>
      <c r="B16" s="96" t="s">
        <v>58</v>
      </c>
      <c r="C16" s="97"/>
      <c r="D16" s="97"/>
      <c r="E16" s="98">
        <f t="shared" ref="E16:F16" si="22">SUM(E17:E19)</f>
        <v>263565</v>
      </c>
      <c r="F16" s="99">
        <f t="shared" si="22"/>
        <v>0.1708067087</v>
      </c>
      <c r="G16" s="100"/>
      <c r="H16" s="101"/>
      <c r="I16" s="98">
        <f t="shared" ref="I16:J16" si="23">SUM(I17:I19)</f>
        <v>260471.7</v>
      </c>
      <c r="J16" s="98">
        <f t="shared" si="23"/>
        <v>-3093.3</v>
      </c>
      <c r="K16" s="102">
        <f t="shared" si="3"/>
        <v>-0.01173638381</v>
      </c>
      <c r="L16" s="103"/>
      <c r="M16" s="104"/>
      <c r="N16" s="104"/>
      <c r="O16" s="105"/>
      <c r="P16" s="106"/>
      <c r="Q16" s="107"/>
      <c r="R16" s="105"/>
      <c r="S16" s="107"/>
      <c r="T16" s="106"/>
      <c r="U16" s="106"/>
      <c r="V16" s="106"/>
      <c r="W16" s="106"/>
      <c r="X16" s="105"/>
      <c r="Y16" s="108"/>
      <c r="Z16" s="108"/>
      <c r="AA16" s="108"/>
      <c r="AB16" s="107"/>
      <c r="AC16" s="30"/>
      <c r="AD16" s="31"/>
      <c r="AE16" s="31"/>
      <c r="AF16" s="109"/>
      <c r="AG16" s="110"/>
      <c r="AH16" s="110"/>
      <c r="AI16" s="111"/>
    </row>
    <row r="17" ht="15.75" customHeight="1">
      <c r="A17" s="56">
        <v>1.0</v>
      </c>
      <c r="B17" s="57" t="s">
        <v>59</v>
      </c>
      <c r="C17" s="58">
        <v>3777.0</v>
      </c>
      <c r="D17" s="58">
        <v>27.0</v>
      </c>
      <c r="E17" s="59">
        <f t="shared" ref="E17:E19" si="24">C17*D17</f>
        <v>101979</v>
      </c>
      <c r="F17" s="60">
        <f t="shared" ref="F17:F19" si="25">E17/$E$35</f>
        <v>0.06608881055</v>
      </c>
      <c r="G17" s="61" t="s">
        <v>60</v>
      </c>
      <c r="H17" s="62">
        <f>IFERROR(__xludf.DUMMYFUNCTION("GOOGLEFINANCE(""DMART"")"),3855.0)</f>
        <v>3855</v>
      </c>
      <c r="I17" s="59">
        <f t="shared" ref="I17:I19" si="26">H17*D17</f>
        <v>104085</v>
      </c>
      <c r="J17" s="80">
        <f t="shared" ref="J17:J19" si="27">I17-E17</f>
        <v>2106</v>
      </c>
      <c r="K17" s="63">
        <f t="shared" si="3"/>
        <v>0.02065131056</v>
      </c>
      <c r="L17" s="64">
        <f>IFERROR(__xludf.DUMMYFUNCTION("GOOGLEFINANCE(""DMART"",""marketcap"")/10^7"),250134.16227)</f>
        <v>250134.1623</v>
      </c>
      <c r="M17" s="81" t="str">
        <f>IFERROR(__xludf.DUMMYFUNCTION("GOOGLEFINANCE(""DMART"",""PE"")"),"#N/A")</f>
        <v>#N/A</v>
      </c>
      <c r="N17" s="65" t="str">
        <f>IFERROR(__xludf.DUMMYFUNCTION("GOOGLEFINANCE(""DMART"",""EPS"")"),"#N/A")</f>
        <v>#N/A</v>
      </c>
      <c r="O17" s="66">
        <v>54813.0</v>
      </c>
      <c r="P17" s="67">
        <v>4379.0</v>
      </c>
      <c r="Q17" s="112">
        <v>0.08</v>
      </c>
      <c r="R17" s="66">
        <v>2687.0</v>
      </c>
      <c r="S17" s="68">
        <v>0.05</v>
      </c>
      <c r="T17" s="67">
        <v>2746.0</v>
      </c>
      <c r="U17" s="67">
        <v>9404.0</v>
      </c>
      <c r="V17" s="88">
        <v>-169.0</v>
      </c>
      <c r="W17" s="67">
        <v>0.0</v>
      </c>
      <c r="X17" s="66">
        <v>288.0</v>
      </c>
      <c r="Y17" s="69">
        <v>0.2813</v>
      </c>
      <c r="Z17" s="69">
        <v>0.0822</v>
      </c>
      <c r="AA17" s="69">
        <v>0.3213</v>
      </c>
      <c r="AB17" s="68">
        <v>0.17</v>
      </c>
      <c r="AC17" s="113">
        <f t="shared" ref="AC17:AC19" si="28">L17/O17</f>
        <v>4.563409452</v>
      </c>
      <c r="AD17" s="89">
        <f t="shared" ref="AD17:AD19" si="29">P17/T17</f>
        <v>1.594683176</v>
      </c>
      <c r="AE17" s="89">
        <f t="shared" ref="AE17:AE19" si="30">R17/T17</f>
        <v>0.9785142025</v>
      </c>
      <c r="AF17" s="71">
        <f t="shared" ref="AF17:AF19" si="31">H17/X17</f>
        <v>13.38541667</v>
      </c>
      <c r="AG17" s="72" t="s">
        <v>2</v>
      </c>
      <c r="AH17" s="65"/>
      <c r="AI17" s="92" t="s">
        <v>61</v>
      </c>
    </row>
    <row r="18" ht="15.75" customHeight="1">
      <c r="A18" s="35">
        <v>2.0</v>
      </c>
      <c r="B18" s="36" t="s">
        <v>62</v>
      </c>
      <c r="C18" s="37">
        <v>845.0</v>
      </c>
      <c r="D18" s="37">
        <v>90.0</v>
      </c>
      <c r="E18" s="38">
        <f t="shared" si="24"/>
        <v>76050</v>
      </c>
      <c r="F18" s="39">
        <f t="shared" si="25"/>
        <v>0.04928518658</v>
      </c>
      <c r="G18" s="85">
        <v>532540.0</v>
      </c>
      <c r="H18" s="41">
        <f>IFERROR(__xludf.DUMMYFUNCTION("GOOGLEFINANCE(""500800"")"),1141.15)</f>
        <v>1141.15</v>
      </c>
      <c r="I18" s="38">
        <f t="shared" si="26"/>
        <v>102703.5</v>
      </c>
      <c r="J18" s="42">
        <f t="shared" si="27"/>
        <v>26653.5</v>
      </c>
      <c r="K18" s="43">
        <f t="shared" si="3"/>
        <v>0.3504733728</v>
      </c>
      <c r="L18" s="44">
        <f>IFERROR(__xludf.DUMMYFUNCTION("GOOGLEFINANCE(""532540"",""marketcap"")/10^7"),954013.4687418)</f>
        <v>954013.4687</v>
      </c>
      <c r="M18" s="45" t="str">
        <f>IFERROR(__xludf.DUMMYFUNCTION("GOOGLEFINANCE(""532540"",""PE"")"),"#N/A")</f>
        <v>#N/A</v>
      </c>
      <c r="N18" s="45" t="str">
        <f>IFERROR(__xludf.DUMMYFUNCTION("GOOGLEFINANCE(""532540"",""EPS"")"),"#N/A")</f>
        <v>#N/A</v>
      </c>
      <c r="O18" s="46">
        <v>248692.0</v>
      </c>
      <c r="P18" s="47">
        <v>66945.0</v>
      </c>
      <c r="Q18" s="48">
        <v>0.27</v>
      </c>
      <c r="R18" s="46">
        <v>47441.0</v>
      </c>
      <c r="S18" s="48">
        <v>0.19</v>
      </c>
      <c r="T18" s="47">
        <v>44338.0</v>
      </c>
      <c r="U18" s="47">
        <v>197423.0</v>
      </c>
      <c r="V18" s="47">
        <v>189508.0</v>
      </c>
      <c r="W18" s="47">
        <v>0.0</v>
      </c>
      <c r="X18" s="46">
        <v>249.0</v>
      </c>
      <c r="Y18" s="50">
        <v>0.1363</v>
      </c>
      <c r="Z18" s="50">
        <v>0.2684</v>
      </c>
      <c r="AA18" s="50">
        <v>0.1228</v>
      </c>
      <c r="AB18" s="48">
        <v>0.06</v>
      </c>
      <c r="AC18" s="113">
        <f t="shared" si="28"/>
        <v>3.836124478</v>
      </c>
      <c r="AD18" s="75">
        <f t="shared" si="29"/>
        <v>1.509878659</v>
      </c>
      <c r="AE18" s="75">
        <f t="shared" si="30"/>
        <v>1.069985114</v>
      </c>
      <c r="AF18" s="71">
        <f t="shared" si="31"/>
        <v>4.582931727</v>
      </c>
      <c r="AG18" s="72" t="s">
        <v>2</v>
      </c>
      <c r="AH18" s="76"/>
      <c r="AI18" s="77"/>
    </row>
    <row r="19" ht="15.75" customHeight="1">
      <c r="A19" s="56">
        <v>3.0</v>
      </c>
      <c r="B19" s="57" t="s">
        <v>63</v>
      </c>
      <c r="C19" s="58">
        <v>2376.0</v>
      </c>
      <c r="D19" s="58">
        <v>36.0</v>
      </c>
      <c r="E19" s="59">
        <f t="shared" si="24"/>
        <v>85536</v>
      </c>
      <c r="F19" s="60">
        <f t="shared" si="25"/>
        <v>0.05543271162</v>
      </c>
      <c r="G19" s="61">
        <v>500331.0</v>
      </c>
      <c r="H19" s="62">
        <f>IFERROR(__xludf.DUMMYFUNCTION("GOOGLEFINANCE(""500331"")"),1491.2)</f>
        <v>1491.2</v>
      </c>
      <c r="I19" s="59">
        <f t="shared" si="26"/>
        <v>53683.2</v>
      </c>
      <c r="J19" s="42">
        <f t="shared" si="27"/>
        <v>-31852.8</v>
      </c>
      <c r="K19" s="63">
        <f t="shared" si="3"/>
        <v>-0.3723905724</v>
      </c>
      <c r="L19" s="64">
        <f>IFERROR(__xludf.DUMMYFUNCTION("GOOGLEFINANCE(""500331"",""marketcap"")/10^7"),75875.3104755)</f>
        <v>75875.31048</v>
      </c>
      <c r="M19" s="81" t="str">
        <f>IFERROR(__xludf.DUMMYFUNCTION("GOOGLEFINANCE(""500331"",""PE"")"),"#N/A")</f>
        <v>#N/A</v>
      </c>
      <c r="N19" s="65" t="str">
        <f>IFERROR(__xludf.DUMMYFUNCTION("GOOGLEFINANCE(""500331"",""EPS"")"),"#N/A")</f>
        <v>#N/A</v>
      </c>
      <c r="O19" s="66">
        <v>12662.0</v>
      </c>
      <c r="P19" s="67">
        <v>2897.0</v>
      </c>
      <c r="Q19" s="68">
        <v>0.23</v>
      </c>
      <c r="R19" s="66">
        <v>1913.0</v>
      </c>
      <c r="S19" s="68">
        <v>0.15</v>
      </c>
      <c r="T19" s="67">
        <v>2724.0</v>
      </c>
      <c r="U19" s="67">
        <v>7909.0</v>
      </c>
      <c r="V19" s="67">
        <v>4000.0</v>
      </c>
      <c r="W19" s="67">
        <v>0.0</v>
      </c>
      <c r="X19" s="66">
        <v>165.0</v>
      </c>
      <c r="Y19" s="69">
        <v>0.193</v>
      </c>
      <c r="Z19" s="69">
        <v>0.1921</v>
      </c>
      <c r="AA19" s="69">
        <v>0.152</v>
      </c>
      <c r="AB19" s="68">
        <v>0.19</v>
      </c>
      <c r="AC19" s="113">
        <f t="shared" si="28"/>
        <v>5.992363803</v>
      </c>
      <c r="AD19" s="89">
        <f t="shared" si="29"/>
        <v>1.063509545</v>
      </c>
      <c r="AE19" s="89">
        <f t="shared" si="30"/>
        <v>0.7022760646</v>
      </c>
      <c r="AF19" s="71">
        <f t="shared" si="31"/>
        <v>9.037575758</v>
      </c>
      <c r="AG19" s="72" t="s">
        <v>2</v>
      </c>
      <c r="AH19" s="114"/>
      <c r="AI19" s="115" t="s">
        <v>54</v>
      </c>
    </row>
    <row r="20" ht="15.75" customHeight="1">
      <c r="A20" s="95"/>
      <c r="B20" s="96" t="s">
        <v>64</v>
      </c>
      <c r="C20" s="97"/>
      <c r="D20" s="97"/>
      <c r="E20" s="98">
        <f t="shared" ref="E20:F20" si="32">SUM(E21:E24)</f>
        <v>158860</v>
      </c>
      <c r="F20" s="99">
        <f t="shared" si="32"/>
        <v>0.1029512786</v>
      </c>
      <c r="G20" s="100"/>
      <c r="H20" s="101"/>
      <c r="I20" s="98">
        <f t="shared" ref="I20:J20" si="33">SUM(I21:I24)</f>
        <v>124676.8</v>
      </c>
      <c r="J20" s="98">
        <f t="shared" si="33"/>
        <v>-34183.2</v>
      </c>
      <c r="K20" s="102">
        <f t="shared" si="3"/>
        <v>-0.2151781443</v>
      </c>
      <c r="L20" s="103"/>
      <c r="M20" s="104"/>
      <c r="N20" s="104"/>
      <c r="O20" s="105"/>
      <c r="P20" s="106"/>
      <c r="Q20" s="107"/>
      <c r="R20" s="105"/>
      <c r="S20" s="107"/>
      <c r="T20" s="106"/>
      <c r="U20" s="106"/>
      <c r="V20" s="106"/>
      <c r="W20" s="106"/>
      <c r="X20" s="105"/>
      <c r="Y20" s="108"/>
      <c r="Z20" s="108"/>
      <c r="AA20" s="108"/>
      <c r="AB20" s="107"/>
      <c r="AC20" s="30"/>
      <c r="AD20" s="31"/>
      <c r="AE20" s="31"/>
      <c r="AF20" s="109"/>
      <c r="AG20" s="110"/>
      <c r="AH20" s="110"/>
      <c r="AI20" s="111"/>
    </row>
    <row r="21" ht="15.75" customHeight="1">
      <c r="A21" s="56">
        <v>1.0</v>
      </c>
      <c r="B21" s="57" t="s">
        <v>65</v>
      </c>
      <c r="C21" s="58">
        <v>224.0</v>
      </c>
      <c r="D21" s="58">
        <v>225.0</v>
      </c>
      <c r="E21" s="59">
        <f t="shared" ref="E21:E24" si="34">C21*D21</f>
        <v>50400</v>
      </c>
      <c r="F21" s="60">
        <f t="shared" ref="F21:F24" si="35">E21/$E$35</f>
        <v>0.03266237217</v>
      </c>
      <c r="G21" s="61">
        <v>500400.0</v>
      </c>
      <c r="H21" s="62">
        <f>IFERROR(__xludf.DUMMYFUNCTION("GOOGLEFINANCE(""500400"")"),377.35)</f>
        <v>377.35</v>
      </c>
      <c r="I21" s="59">
        <f t="shared" ref="I21:I24" si="36">H21*D21</f>
        <v>84903.75</v>
      </c>
      <c r="J21" s="42">
        <f t="shared" ref="J21:J24" si="37">I21-E21</f>
        <v>34503.75</v>
      </c>
      <c r="K21" s="63">
        <f t="shared" si="3"/>
        <v>0.6845982143</v>
      </c>
      <c r="L21" s="64">
        <f>IFERROR(__xludf.DUMMYFUNCTION("GOOGLEFINANCE(""500400"",""marketcap"")/10^7"),120576.1191152)</f>
        <v>120576.1191</v>
      </c>
      <c r="M21" s="65" t="str">
        <f>IFERROR(__xludf.DUMMYFUNCTION("GOOGLEFINANCE(""500400"",""PE"")"),"#N/A")</f>
        <v>#N/A</v>
      </c>
      <c r="N21" s="65" t="str">
        <f>IFERROR(__xludf.DUMMYFUNCTION("GOOGLEFINANCE(""500400"",""EPS"")"),"#N/A")</f>
        <v>#N/A</v>
      </c>
      <c r="O21" s="66">
        <v>63489.0</v>
      </c>
      <c r="P21" s="67">
        <v>11057.0</v>
      </c>
      <c r="Q21" s="68">
        <v>0.17</v>
      </c>
      <c r="R21" s="66">
        <v>3746.0</v>
      </c>
      <c r="S21" s="68">
        <v>0.06</v>
      </c>
      <c r="T21" s="67">
        <v>12596.0</v>
      </c>
      <c r="U21" s="67">
        <v>42175.0</v>
      </c>
      <c r="V21" s="67">
        <v>10285.0</v>
      </c>
      <c r="W21" s="67">
        <v>2.0</v>
      </c>
      <c r="X21" s="66">
        <v>101.0</v>
      </c>
      <c r="Y21" s="69">
        <v>0.234</v>
      </c>
      <c r="Z21" s="69">
        <v>0.16</v>
      </c>
      <c r="AA21" s="69">
        <v>0.4856</v>
      </c>
      <c r="AB21" s="68">
        <v>0.56</v>
      </c>
      <c r="AC21" s="70">
        <f t="shared" ref="AC21:AC24" si="38">L21/O21</f>
        <v>1.899165511</v>
      </c>
      <c r="AD21" s="89">
        <f t="shared" ref="AD21:AD24" si="39">P21/T21</f>
        <v>0.877818355</v>
      </c>
      <c r="AE21" s="53">
        <f t="shared" ref="AE21:AE24" si="40">R21/T21</f>
        <v>0.2973959987</v>
      </c>
      <c r="AF21" s="82">
        <f t="shared" ref="AF21:AF24" si="41">H21/X21</f>
        <v>3.736138614</v>
      </c>
      <c r="AG21" s="72" t="s">
        <v>2</v>
      </c>
      <c r="AH21" s="65"/>
      <c r="AI21" s="83"/>
    </row>
    <row r="22" ht="15.75" customHeight="1">
      <c r="A22" s="35">
        <v>2.0</v>
      </c>
      <c r="B22" s="84" t="s">
        <v>66</v>
      </c>
      <c r="C22" s="37">
        <v>875.0</v>
      </c>
      <c r="D22" s="37">
        <v>50.0</v>
      </c>
      <c r="E22" s="38">
        <f t="shared" si="34"/>
        <v>43750</v>
      </c>
      <c r="F22" s="39">
        <f t="shared" si="35"/>
        <v>0.02835275362</v>
      </c>
      <c r="G22" s="85">
        <v>542323.0</v>
      </c>
      <c r="H22" s="41">
        <f>IFERROR(__xludf.DUMMYFUNCTION("GOOGLEFINANCE(""542323"")"),388.4)</f>
        <v>388.4</v>
      </c>
      <c r="I22" s="38">
        <f t="shared" si="36"/>
        <v>19420</v>
      </c>
      <c r="J22" s="80">
        <f t="shared" si="37"/>
        <v>-24330</v>
      </c>
      <c r="K22" s="43">
        <f t="shared" si="3"/>
        <v>-0.5561142857</v>
      </c>
      <c r="L22" s="44">
        <f>IFERROR(__xludf.DUMMYFUNCTION("GOOGLEFINANCE(""542323"",""marketcap"")/10^7"),8048.7108)</f>
        <v>8048.7108</v>
      </c>
      <c r="M22" s="45" t="str">
        <f>IFERROR(__xludf.DUMMYFUNCTION("GOOGLEFINANCE(""542323"",""PE"")"),"#N/A")</f>
        <v>#N/A</v>
      </c>
      <c r="N22" s="45" t="str">
        <f>IFERROR(__xludf.DUMMYFUNCTION("GOOGLEFINANCE(""542323"",""EPS"")"),"#N/A")</f>
        <v>#N/A</v>
      </c>
      <c r="O22" s="46">
        <v>1327.0</v>
      </c>
      <c r="P22" s="47">
        <v>462.0</v>
      </c>
      <c r="Q22" s="48">
        <v>0.35</v>
      </c>
      <c r="R22" s="46">
        <v>230.0</v>
      </c>
      <c r="S22" s="48">
        <v>0.17</v>
      </c>
      <c r="T22" s="49">
        <v>-57.0</v>
      </c>
      <c r="U22" s="47">
        <v>217.0</v>
      </c>
      <c r="V22" s="88">
        <v>-761.0</v>
      </c>
      <c r="W22" s="47">
        <v>1.0</v>
      </c>
      <c r="X22" s="46">
        <v>73.0</v>
      </c>
      <c r="Y22" s="50">
        <v>1.1552</v>
      </c>
      <c r="Z22" s="50">
        <v>0.3447</v>
      </c>
      <c r="AA22" s="50">
        <v>0.9465</v>
      </c>
      <c r="AB22" s="48">
        <v>3.7</v>
      </c>
      <c r="AC22" s="113">
        <f t="shared" si="38"/>
        <v>6.065343482</v>
      </c>
      <c r="AD22" s="52">
        <f t="shared" si="39"/>
        <v>-8.105263158</v>
      </c>
      <c r="AE22" s="53">
        <f t="shared" si="40"/>
        <v>-4.035087719</v>
      </c>
      <c r="AF22" s="71">
        <f t="shared" si="41"/>
        <v>5.320547945</v>
      </c>
      <c r="AG22" s="72" t="s">
        <v>2</v>
      </c>
      <c r="AH22" s="76"/>
      <c r="AI22" s="115" t="s">
        <v>54</v>
      </c>
    </row>
    <row r="23" ht="15.75" customHeight="1">
      <c r="A23" s="56">
        <v>3.0</v>
      </c>
      <c r="B23" s="57" t="s">
        <v>67</v>
      </c>
      <c r="C23" s="58">
        <v>44.0</v>
      </c>
      <c r="D23" s="58">
        <v>450.0</v>
      </c>
      <c r="E23" s="59">
        <f t="shared" si="34"/>
        <v>19800</v>
      </c>
      <c r="F23" s="60">
        <f t="shared" si="35"/>
        <v>0.01283164621</v>
      </c>
      <c r="G23" s="59">
        <v>532667.0</v>
      </c>
      <c r="H23" s="62">
        <f>IFERROR(__xludf.DUMMYFUNCTION("GOOGLEFINANCE(""532667"")"),42.7)</f>
        <v>42.7</v>
      </c>
      <c r="I23" s="59">
        <f t="shared" si="36"/>
        <v>19215</v>
      </c>
      <c r="J23" s="42">
        <f t="shared" si="37"/>
        <v>-585</v>
      </c>
      <c r="K23" s="63">
        <f t="shared" si="3"/>
        <v>-0.02954545455</v>
      </c>
      <c r="L23" s="64">
        <f>IFERROR(__xludf.DUMMYFUNCTION("GOOGLEFINANCE(""532667"",""marketcap"")/10^7"),58524.7491456)</f>
        <v>58524.74915</v>
      </c>
      <c r="M23" s="81" t="str">
        <f>IFERROR(__xludf.DUMMYFUNCTION("GOOGLEFINANCE(""532667"",""PE"")"),"#N/A")</f>
        <v>#N/A</v>
      </c>
      <c r="N23" s="65" t="str">
        <f>IFERROR(__xludf.DUMMYFUNCTION("GOOGLEFINANCE(""532667"",""EPS"")"),"#N/A")</f>
        <v>#N/A</v>
      </c>
      <c r="O23" s="66">
        <v>7882.0</v>
      </c>
      <c r="P23" s="67">
        <v>1269.0</v>
      </c>
      <c r="Q23" s="68">
        <v>0.16</v>
      </c>
      <c r="R23" s="66">
        <v>960.0</v>
      </c>
      <c r="S23" s="68">
        <v>0.12</v>
      </c>
      <c r="T23" s="67">
        <v>80.0</v>
      </c>
      <c r="U23" s="67">
        <v>1474.0</v>
      </c>
      <c r="V23" s="67">
        <v>2316.0</v>
      </c>
      <c r="W23" s="67">
        <v>0.0</v>
      </c>
      <c r="X23" s="66">
        <v>3.0</v>
      </c>
      <c r="Y23" s="69">
        <v>0.2496</v>
      </c>
      <c r="Z23" s="69">
        <v>0.1452</v>
      </c>
      <c r="AA23" s="69">
        <v>0.8507</v>
      </c>
      <c r="AB23" s="68">
        <v>1.24</v>
      </c>
      <c r="AC23" s="113">
        <f t="shared" si="38"/>
        <v>7.425114076</v>
      </c>
      <c r="AD23" s="89">
        <f t="shared" si="39"/>
        <v>15.8625</v>
      </c>
      <c r="AE23" s="89">
        <f t="shared" si="40"/>
        <v>12</v>
      </c>
      <c r="AF23" s="71">
        <f t="shared" si="41"/>
        <v>14.23333333</v>
      </c>
      <c r="AG23" s="72" t="s">
        <v>2</v>
      </c>
      <c r="AH23" s="114"/>
      <c r="AI23" s="115" t="s">
        <v>54</v>
      </c>
    </row>
    <row r="24" ht="15.75" customHeight="1">
      <c r="A24" s="35">
        <v>4.0</v>
      </c>
      <c r="B24" s="78" t="s">
        <v>68</v>
      </c>
      <c r="C24" s="37">
        <v>998.0</v>
      </c>
      <c r="D24" s="37">
        <v>45.0</v>
      </c>
      <c r="E24" s="38">
        <f t="shared" si="34"/>
        <v>44910</v>
      </c>
      <c r="F24" s="39">
        <f t="shared" si="35"/>
        <v>0.02910450663</v>
      </c>
      <c r="G24" s="85">
        <v>542851.0</v>
      </c>
      <c r="H24" s="41">
        <f>IFERROR(__xludf.DUMMYFUNCTION("GOOGLEFINANCE(""542851"")"),25.29)</f>
        <v>25.29</v>
      </c>
      <c r="I24" s="38">
        <f t="shared" si="36"/>
        <v>1138.05</v>
      </c>
      <c r="J24" s="80">
        <f t="shared" si="37"/>
        <v>-43771.95</v>
      </c>
      <c r="K24" s="43">
        <f t="shared" si="3"/>
        <v>-0.9746593186</v>
      </c>
      <c r="L24" s="44">
        <f>IFERROR(__xludf.DUMMYFUNCTION("GOOGLEFINANCE(""BORORENEW"",""marketcap"")/10^7"),6378.5904)</f>
        <v>6378.5904</v>
      </c>
      <c r="M24" s="45" t="str">
        <f>IFERROR(__xludf.DUMMYFUNCTION("GOOGLEFINANCE(""BORORENEW"",""PE"")"),"#N/A")</f>
        <v>#N/A</v>
      </c>
      <c r="N24" s="45" t="str">
        <f>IFERROR(__xludf.DUMMYFUNCTION("GOOGLEFINANCE(""BORORENEW"",""EPS"")"),"#N/A")</f>
        <v>#N/A</v>
      </c>
      <c r="O24" s="46">
        <v>1328.0</v>
      </c>
      <c r="P24" s="47">
        <v>323.0</v>
      </c>
      <c r="Q24" s="48">
        <v>0.24</v>
      </c>
      <c r="R24" s="46">
        <v>98.0</v>
      </c>
      <c r="S24" s="48">
        <v>0.07</v>
      </c>
      <c r="T24" s="49">
        <v>-98.0</v>
      </c>
      <c r="U24" s="49">
        <v>-42.0</v>
      </c>
      <c r="V24" s="88">
        <v>-845.0</v>
      </c>
      <c r="W24" s="47">
        <v>5.0</v>
      </c>
      <c r="X24" s="46">
        <v>87.0</v>
      </c>
      <c r="Y24" s="50">
        <v>1.4692</v>
      </c>
      <c r="Z24" s="50">
        <v>0.215</v>
      </c>
      <c r="AA24" s="50">
        <v>1.6528</v>
      </c>
      <c r="AB24" s="48">
        <v>2.78</v>
      </c>
      <c r="AC24" s="113">
        <f t="shared" si="38"/>
        <v>4.803155422</v>
      </c>
      <c r="AD24" s="52">
        <f t="shared" si="39"/>
        <v>-3.295918367</v>
      </c>
      <c r="AE24" s="53">
        <f t="shared" si="40"/>
        <v>-1</v>
      </c>
      <c r="AF24" s="54">
        <f t="shared" si="41"/>
        <v>0.2906896552</v>
      </c>
      <c r="AG24" s="90" t="s">
        <v>2</v>
      </c>
      <c r="AH24" s="76"/>
      <c r="AI24" s="115" t="s">
        <v>54</v>
      </c>
    </row>
    <row r="25" ht="15.75" customHeight="1">
      <c r="A25" s="95"/>
      <c r="B25" s="96" t="s">
        <v>69</v>
      </c>
      <c r="C25" s="97"/>
      <c r="D25" s="97"/>
      <c r="E25" s="98">
        <f t="shared" ref="E25:F25" si="42">SUM(E26:E28)</f>
        <v>198656</v>
      </c>
      <c r="F25" s="99">
        <f t="shared" si="42"/>
        <v>0.1287415914</v>
      </c>
      <c r="G25" s="100"/>
      <c r="H25" s="101"/>
      <c r="I25" s="98">
        <f t="shared" ref="I25:J25" si="43">SUM(I26:I28)</f>
        <v>357018.4</v>
      </c>
      <c r="J25" s="98">
        <f t="shared" si="43"/>
        <v>158362.4</v>
      </c>
      <c r="K25" s="102">
        <f t="shared" si="3"/>
        <v>0.7971689755</v>
      </c>
      <c r="L25" s="103"/>
      <c r="M25" s="104"/>
      <c r="N25" s="104"/>
      <c r="O25" s="105"/>
      <c r="P25" s="106"/>
      <c r="Q25" s="107"/>
      <c r="R25" s="105"/>
      <c r="S25" s="107"/>
      <c r="T25" s="106"/>
      <c r="U25" s="106"/>
      <c r="V25" s="106"/>
      <c r="W25" s="106"/>
      <c r="X25" s="105"/>
      <c r="Y25" s="108"/>
      <c r="Z25" s="108"/>
      <c r="AA25" s="108"/>
      <c r="AB25" s="107"/>
      <c r="AC25" s="30"/>
      <c r="AD25" s="31"/>
      <c r="AE25" s="31"/>
      <c r="AF25" s="109"/>
      <c r="AG25" s="33"/>
      <c r="AH25" s="33"/>
      <c r="AI25" s="34"/>
    </row>
    <row r="26" ht="15.75" customHeight="1">
      <c r="A26" s="35">
        <v>1.0</v>
      </c>
      <c r="B26" s="84" t="s">
        <v>70</v>
      </c>
      <c r="C26" s="37">
        <v>580.0</v>
      </c>
      <c r="D26" s="37">
        <v>60.0</v>
      </c>
      <c r="E26" s="38">
        <f t="shared" ref="E26:E28" si="44">C26*D26</f>
        <v>34800</v>
      </c>
      <c r="F26" s="39">
        <f t="shared" ref="F26:F28" si="45">E26/$E$35</f>
        <v>0.02255259031</v>
      </c>
      <c r="G26" s="85">
        <v>543517.0</v>
      </c>
      <c r="H26" s="41">
        <f>IFERROR(__xludf.DUMMYFUNCTION("GOOGLEFINANCE(""543517"")"),367.2)</f>
        <v>367.2</v>
      </c>
      <c r="I26" s="38">
        <f t="shared" ref="I26:I28" si="46">H26*D26</f>
        <v>22032</v>
      </c>
      <c r="J26" s="80">
        <f t="shared" ref="J26:J28" si="47">I26-E26</f>
        <v>-12768</v>
      </c>
      <c r="K26" s="43">
        <f t="shared" si="3"/>
        <v>-0.3668965517</v>
      </c>
      <c r="L26" s="44">
        <f>IFERROR(__xludf.DUMMYFUNCTION("GOOGLEFINANCE(""543517"",""marketcap"")/10^7"),1141.144268)</f>
        <v>1141.144268</v>
      </c>
      <c r="M26" s="45" t="str">
        <f>IFERROR(__xludf.DUMMYFUNCTION("GOOGLEFINANCE(""543517"", ""PE"")"),"#N/A")</f>
        <v>#N/A</v>
      </c>
      <c r="N26" s="45" t="str">
        <f>IFERROR(__xludf.DUMMYFUNCTION("GOOGLEFINANCE(""543517"", ""EPS"")"),"#N/A")</f>
        <v>#N/A</v>
      </c>
      <c r="O26" s="46">
        <v>1268.0</v>
      </c>
      <c r="P26" s="47">
        <v>162.0</v>
      </c>
      <c r="Q26" s="48">
        <v>0.13</v>
      </c>
      <c r="R26" s="46">
        <v>60.0</v>
      </c>
      <c r="S26" s="48">
        <v>0.05</v>
      </c>
      <c r="T26" s="47">
        <v>5.0</v>
      </c>
      <c r="U26" s="49">
        <v>-81.0</v>
      </c>
      <c r="V26" s="88">
        <v>-417.0</v>
      </c>
      <c r="W26" s="47">
        <v>1.0</v>
      </c>
      <c r="X26" s="46">
        <v>164.0</v>
      </c>
      <c r="Y26" s="50">
        <v>0.6556</v>
      </c>
      <c r="Z26" s="50">
        <v>0.1242</v>
      </c>
      <c r="AA26" s="50">
        <v>0.5542</v>
      </c>
      <c r="AB26" s="45"/>
      <c r="AC26" s="51">
        <f t="shared" ref="AC26:AC28" si="48">L26/O26</f>
        <v>0.8999560473</v>
      </c>
      <c r="AD26" s="75">
        <f t="shared" ref="AD26:AD28" si="49">P26/T26</f>
        <v>32.4</v>
      </c>
      <c r="AE26" s="75">
        <f t="shared" ref="AE26:AE28" si="50">R26/T26</f>
        <v>12</v>
      </c>
      <c r="AF26" s="54">
        <f t="shared" ref="AF26:AF28" si="51">H26/X26</f>
        <v>2.23902439</v>
      </c>
      <c r="AG26" s="90" t="s">
        <v>2</v>
      </c>
      <c r="AH26" s="76"/>
      <c r="AI26" s="115" t="s">
        <v>54</v>
      </c>
    </row>
    <row r="27" ht="15.75" customHeight="1">
      <c r="A27" s="56">
        <v>2.0</v>
      </c>
      <c r="B27" s="57" t="s">
        <v>71</v>
      </c>
      <c r="C27" s="58">
        <v>1517.0</v>
      </c>
      <c r="D27" s="58">
        <v>56.0</v>
      </c>
      <c r="E27" s="59">
        <f t="shared" si="44"/>
        <v>84952</v>
      </c>
      <c r="F27" s="60">
        <f t="shared" si="45"/>
        <v>0.05505424287</v>
      </c>
      <c r="G27" s="79" t="s">
        <v>72</v>
      </c>
      <c r="H27" s="62">
        <f>IFERROR(__xludf.DUMMYFUNCTION("GOOGLEFINANCE(""ASTRAL"")"),1670.0)</f>
        <v>1670</v>
      </c>
      <c r="I27" s="59">
        <f t="shared" si="46"/>
        <v>93520</v>
      </c>
      <c r="J27" s="80">
        <f t="shared" si="47"/>
        <v>8568</v>
      </c>
      <c r="K27" s="63">
        <f t="shared" si="3"/>
        <v>0.1008569545</v>
      </c>
      <c r="L27" s="64">
        <f>IFERROR(__xludf.DUMMYFUNCTION("GOOGLEFINANCE(""ASTRAL"",""marketcap"")/10^7"),44758.8836171)</f>
        <v>44758.88362</v>
      </c>
      <c r="M27" s="81" t="str">
        <f>IFERROR(__xludf.DUMMYFUNCTION("GOOGLEFINANCE(""ASTRAL"",""PE"")"),"#N/A")</f>
        <v>#N/A</v>
      </c>
      <c r="N27" s="65" t="str">
        <f>IFERROR(__xludf.DUMMYFUNCTION("GOOGLEFINANCE(""ASTRAL"",""EPS"")"),"#N/A")</f>
        <v>#N/A</v>
      </c>
      <c r="O27" s="66">
        <v>5749.0</v>
      </c>
      <c r="P27" s="67">
        <v>921.0</v>
      </c>
      <c r="Q27" s="68">
        <v>0.16</v>
      </c>
      <c r="R27" s="66">
        <v>526.0</v>
      </c>
      <c r="S27" s="68">
        <v>0.09</v>
      </c>
      <c r="T27" s="67">
        <v>823.0</v>
      </c>
      <c r="U27" s="67">
        <v>2993.0</v>
      </c>
      <c r="V27" s="67">
        <v>1729.0</v>
      </c>
      <c r="W27" s="67">
        <v>0.0</v>
      </c>
      <c r="X27" s="66">
        <v>119.0</v>
      </c>
      <c r="Y27" s="69">
        <v>0.211</v>
      </c>
      <c r="Z27" s="69">
        <v>0.1637</v>
      </c>
      <c r="AA27" s="69">
        <v>0.1053</v>
      </c>
      <c r="AB27" s="68">
        <v>0.18</v>
      </c>
      <c r="AC27" s="113">
        <f t="shared" si="48"/>
        <v>7.785507674</v>
      </c>
      <c r="AD27" s="89">
        <f t="shared" si="49"/>
        <v>1.119076549</v>
      </c>
      <c r="AE27" s="89">
        <f t="shared" si="50"/>
        <v>0.6391251519</v>
      </c>
      <c r="AF27" s="71">
        <f t="shared" si="51"/>
        <v>14.03361345</v>
      </c>
      <c r="AG27" s="90" t="s">
        <v>2</v>
      </c>
      <c r="AH27" s="114"/>
      <c r="AI27" s="116"/>
    </row>
    <row r="28" ht="15.75" customHeight="1">
      <c r="A28" s="35">
        <v>3.0</v>
      </c>
      <c r="B28" s="36" t="s">
        <v>73</v>
      </c>
      <c r="C28" s="37">
        <v>2818.0</v>
      </c>
      <c r="D28" s="37">
        <v>28.0</v>
      </c>
      <c r="E28" s="38">
        <f t="shared" si="44"/>
        <v>78904</v>
      </c>
      <c r="F28" s="39">
        <f t="shared" si="45"/>
        <v>0.05113475821</v>
      </c>
      <c r="G28" s="85">
        <v>542652.0</v>
      </c>
      <c r="H28" s="41">
        <f>IFERROR(__xludf.DUMMYFUNCTION("GOOGLEFINANCE(""542652"")"),8623.8)</f>
        <v>8623.8</v>
      </c>
      <c r="I28" s="38">
        <f t="shared" si="46"/>
        <v>241466.4</v>
      </c>
      <c r="J28" s="42">
        <f t="shared" si="47"/>
        <v>162562.4</v>
      </c>
      <c r="K28" s="43">
        <f t="shared" si="3"/>
        <v>2.0602555</v>
      </c>
      <c r="L28" s="44">
        <f>IFERROR(__xludf.DUMMYFUNCTION("GOOGLEFINANCE(""542652"",""marketcap"")/10^7"),129570.255045)</f>
        <v>129570.255</v>
      </c>
      <c r="M28" s="45" t="str">
        <f>IFERROR(__xludf.DUMMYFUNCTION("GOOGLEFINANCE(""542652"",""PE"")"),"#N/A")</f>
        <v>#N/A</v>
      </c>
      <c r="N28" s="45" t="str">
        <f>IFERROR(__xludf.DUMMYFUNCTION("GOOGLEFINANCE(""542652"",""EPS"")"),"#N/A")</f>
        <v>#N/A</v>
      </c>
      <c r="O28" s="46">
        <v>20129.0</v>
      </c>
      <c r="P28" s="47">
        <v>2546.0</v>
      </c>
      <c r="Q28" s="48">
        <v>0.13</v>
      </c>
      <c r="R28" s="46">
        <v>1795.0</v>
      </c>
      <c r="S28" s="48">
        <v>0.09</v>
      </c>
      <c r="T28" s="47">
        <v>1296.0</v>
      </c>
      <c r="U28" s="47">
        <v>4732.0</v>
      </c>
      <c r="V28" s="47">
        <v>3285.0</v>
      </c>
      <c r="W28" s="47">
        <v>0.0</v>
      </c>
      <c r="X28" s="46">
        <v>546.0</v>
      </c>
      <c r="Y28" s="50">
        <v>0.2707</v>
      </c>
      <c r="Z28" s="50">
        <v>0.1262</v>
      </c>
      <c r="AA28" s="50">
        <v>0.2646</v>
      </c>
      <c r="AB28" s="48">
        <v>0.55</v>
      </c>
      <c r="AC28" s="51">
        <f t="shared" si="48"/>
        <v>6.43699414</v>
      </c>
      <c r="AD28" s="75">
        <f t="shared" si="49"/>
        <v>1.964506173</v>
      </c>
      <c r="AE28" s="75">
        <f t="shared" si="50"/>
        <v>1.385030864</v>
      </c>
      <c r="AF28" s="71">
        <f t="shared" si="51"/>
        <v>15.79450549</v>
      </c>
      <c r="AG28" s="76" t="s">
        <v>40</v>
      </c>
      <c r="AH28" s="76"/>
      <c r="AI28" s="77"/>
    </row>
    <row r="29" ht="15.75" customHeight="1">
      <c r="A29" s="16"/>
      <c r="B29" s="17" t="s">
        <v>74</v>
      </c>
      <c r="C29" s="117"/>
      <c r="D29" s="117"/>
      <c r="E29" s="19">
        <f t="shared" ref="E29:F29" si="52">SUM(E30:E34)</f>
        <v>255709</v>
      </c>
      <c r="F29" s="20">
        <f t="shared" si="52"/>
        <v>0.1657155263</v>
      </c>
      <c r="G29" s="118"/>
      <c r="H29" s="22"/>
      <c r="I29" s="19">
        <f t="shared" ref="I29:J29" si="53">SUM(I30:I34)</f>
        <v>254353.85</v>
      </c>
      <c r="J29" s="19">
        <f t="shared" si="53"/>
        <v>-1355.15</v>
      </c>
      <c r="K29" s="23">
        <f t="shared" si="3"/>
        <v>-0.005299578818</v>
      </c>
      <c r="L29" s="24"/>
      <c r="M29" s="25"/>
      <c r="N29" s="25"/>
      <c r="O29" s="26"/>
      <c r="P29" s="27"/>
      <c r="Q29" s="28"/>
      <c r="R29" s="26"/>
      <c r="S29" s="28"/>
      <c r="T29" s="27"/>
      <c r="U29" s="27"/>
      <c r="V29" s="27"/>
      <c r="W29" s="27"/>
      <c r="X29" s="26"/>
      <c r="Y29" s="29"/>
      <c r="Z29" s="29"/>
      <c r="AA29" s="29"/>
      <c r="AB29" s="28"/>
      <c r="AC29" s="30"/>
      <c r="AD29" s="31"/>
      <c r="AE29" s="31"/>
      <c r="AF29" s="32"/>
      <c r="AG29" s="33"/>
      <c r="AH29" s="33"/>
      <c r="AI29" s="34"/>
    </row>
    <row r="30" ht="15.75" customHeight="1">
      <c r="A30" s="35">
        <v>1.0</v>
      </c>
      <c r="B30" s="84" t="s">
        <v>75</v>
      </c>
      <c r="C30" s="37">
        <v>1610.0</v>
      </c>
      <c r="D30" s="37">
        <v>32.0</v>
      </c>
      <c r="E30" s="38">
        <f t="shared" ref="E30:E34" si="54">C30*D30</f>
        <v>51520</v>
      </c>
      <c r="F30" s="39">
        <f t="shared" ref="F30:F35" si="55">E30/$E$35</f>
        <v>0.03338820266</v>
      </c>
      <c r="G30" s="85">
        <v>543318.0</v>
      </c>
      <c r="H30" s="41">
        <f>IFERROR(__xludf.DUMMYFUNCTION("GOOGLEFINANCE(""543318"")"),734.75)</f>
        <v>734.75</v>
      </c>
      <c r="I30" s="38">
        <f t="shared" ref="I30:I34" si="56">H30*D30</f>
        <v>23512</v>
      </c>
      <c r="J30" s="80">
        <f t="shared" ref="J30:J34" si="57">I30-E30</f>
        <v>-28008</v>
      </c>
      <c r="K30" s="43">
        <f t="shared" si="3"/>
        <v>-0.5436335404</v>
      </c>
      <c r="L30" s="44">
        <f>IFERROR(__xludf.DUMMYFUNCTION("GOOGLEFINANCE(""543318"",""marketcap"")/10^7"),7812.7657425)</f>
        <v>7812.765743</v>
      </c>
      <c r="M30" s="45" t="str">
        <f>IFERROR(__xludf.DUMMYFUNCTION("GOOGLEFINANCE(""543318"",""PE"")"),"#N/A")</f>
        <v>#N/A</v>
      </c>
      <c r="N30" s="45" t="str">
        <f>IFERROR(__xludf.DUMMYFUNCTION("GOOGLEFINANCE(""543318"",""EPS"")"),"#N/A")</f>
        <v>#N/A</v>
      </c>
      <c r="O30" s="46">
        <v>884.0</v>
      </c>
      <c r="P30" s="47">
        <v>365.0</v>
      </c>
      <c r="Q30" s="48">
        <v>0.41</v>
      </c>
      <c r="R30" s="46">
        <v>258.0</v>
      </c>
      <c r="S30" s="48">
        <v>0.29</v>
      </c>
      <c r="T30" s="47">
        <v>237.0</v>
      </c>
      <c r="U30" s="47">
        <v>997.0</v>
      </c>
      <c r="V30" s="47">
        <v>434.0</v>
      </c>
      <c r="W30" s="47">
        <v>0.0</v>
      </c>
      <c r="X30" s="46">
        <v>113.0</v>
      </c>
      <c r="Y30" s="50">
        <v>0.1559</v>
      </c>
      <c r="Z30" s="50">
        <v>0.4291</v>
      </c>
      <c r="AA30" s="50">
        <v>0.0715</v>
      </c>
      <c r="AB30" s="45"/>
      <c r="AC30" s="113">
        <f t="shared" ref="AC30:AC34" si="58">L30/O30</f>
        <v>8.837970297</v>
      </c>
      <c r="AD30" s="75">
        <f t="shared" ref="AD30:AD34" si="59">P30/T30</f>
        <v>1.540084388</v>
      </c>
      <c r="AE30" s="75">
        <f t="shared" ref="AE30:AE34" si="60">R30/T30</f>
        <v>1.088607595</v>
      </c>
      <c r="AF30" s="71">
        <f t="shared" ref="AF30:AF34" si="61">H30/X30</f>
        <v>6.502212389</v>
      </c>
      <c r="AG30" s="72" t="s">
        <v>2</v>
      </c>
      <c r="AH30" s="76"/>
      <c r="AI30" s="115" t="s">
        <v>54</v>
      </c>
    </row>
    <row r="31" ht="15.75" customHeight="1">
      <c r="A31" s="56">
        <v>2.0</v>
      </c>
      <c r="B31" s="78" t="s">
        <v>76</v>
      </c>
      <c r="C31" s="58">
        <v>2248.0</v>
      </c>
      <c r="D31" s="58">
        <v>27.0</v>
      </c>
      <c r="E31" s="59">
        <f t="shared" si="54"/>
        <v>60696</v>
      </c>
      <c r="F31" s="60">
        <f t="shared" si="55"/>
        <v>0.0393348282</v>
      </c>
      <c r="G31" s="79">
        <v>506401.0</v>
      </c>
      <c r="H31" s="62">
        <f>IFERROR(__xludf.DUMMYFUNCTION("GOOGLEFINANCE(""506401"")"),1575.0)</f>
        <v>1575</v>
      </c>
      <c r="I31" s="59">
        <f t="shared" si="56"/>
        <v>42525</v>
      </c>
      <c r="J31" s="80">
        <f t="shared" si="57"/>
        <v>-18171</v>
      </c>
      <c r="K31" s="63">
        <f t="shared" si="3"/>
        <v>-0.2993772242</v>
      </c>
      <c r="L31" s="64">
        <f>IFERROR(__xludf.DUMMYFUNCTION("GOOGLEFINANCE(""524200"",""marketcap"")/10^7"),15270.9792829)</f>
        <v>15270.97928</v>
      </c>
      <c r="M31" s="65" t="str">
        <f>IFERROR(__xludf.DUMMYFUNCTION("GOOGLEFINANCE(""524200"",""PE"")"),"#N/A")</f>
        <v>#N/A</v>
      </c>
      <c r="N31" s="65" t="str">
        <f>IFERROR(__xludf.DUMMYFUNCTION("GOOGLEFINANCE(""524200"",""EPS"")"),"#N/A")</f>
        <v>#N/A</v>
      </c>
      <c r="O31" s="66">
        <v>8334.0</v>
      </c>
      <c r="P31" s="67">
        <v>1212.0</v>
      </c>
      <c r="Q31" s="68">
        <v>0.15</v>
      </c>
      <c r="R31" s="66">
        <v>853.0</v>
      </c>
      <c r="S31" s="68">
        <v>0.1</v>
      </c>
      <c r="T31" s="67">
        <v>878.0</v>
      </c>
      <c r="U31" s="67">
        <v>4118.0</v>
      </c>
      <c r="V31" s="67">
        <v>2802.0</v>
      </c>
      <c r="W31" s="67">
        <v>0.0</v>
      </c>
      <c r="X31" s="66">
        <v>352.0</v>
      </c>
      <c r="Y31" s="69">
        <v>0.2078</v>
      </c>
      <c r="Z31" s="69">
        <v>0.1793</v>
      </c>
      <c r="AA31" s="69">
        <v>0.0149</v>
      </c>
      <c r="AB31" s="68">
        <v>0.09</v>
      </c>
      <c r="AC31" s="70">
        <f t="shared" si="58"/>
        <v>1.832370924</v>
      </c>
      <c r="AD31" s="89">
        <f t="shared" si="59"/>
        <v>1.380410023</v>
      </c>
      <c r="AE31" s="89">
        <f t="shared" si="60"/>
        <v>0.9715261959</v>
      </c>
      <c r="AF31" s="82">
        <f t="shared" si="61"/>
        <v>4.474431818</v>
      </c>
      <c r="AG31" s="90" t="s">
        <v>2</v>
      </c>
      <c r="AH31" s="65"/>
      <c r="AI31" s="83"/>
    </row>
    <row r="32" ht="15.75" customHeight="1">
      <c r="A32" s="35">
        <v>3.0</v>
      </c>
      <c r="B32" s="78" t="s">
        <v>77</v>
      </c>
      <c r="C32" s="37">
        <v>4284.0</v>
      </c>
      <c r="D32" s="37">
        <v>16.0</v>
      </c>
      <c r="E32" s="38">
        <f t="shared" si="54"/>
        <v>68544</v>
      </c>
      <c r="F32" s="39">
        <f t="shared" si="55"/>
        <v>0.04442082615</v>
      </c>
      <c r="G32" s="85">
        <v>541557.0</v>
      </c>
      <c r="H32" s="41">
        <f>IFERROR(__xludf.DUMMYFUNCTION("GOOGLEFINANCE(""541557"")"),4711.6)</f>
        <v>4711.6</v>
      </c>
      <c r="I32" s="38">
        <f t="shared" si="56"/>
        <v>75385.6</v>
      </c>
      <c r="J32" s="80">
        <f t="shared" si="57"/>
        <v>6841.6</v>
      </c>
      <c r="K32" s="43">
        <f t="shared" si="3"/>
        <v>0.09981325864</v>
      </c>
      <c r="L32" s="44">
        <f>IFERROR(__xludf.DUMMYFUNCTION("GOOGLEFINANCE(""524200"",""marketcap"")/10^7"),15270.9792829)</f>
        <v>15270.97928</v>
      </c>
      <c r="M32" s="45" t="str">
        <f>IFERROR(__xludf.DUMMYFUNCTION("GOOGLEFINANCE(""524200"",""PE"")"),"#N/A")</f>
        <v>#N/A</v>
      </c>
      <c r="N32" s="45" t="str">
        <f>IFERROR(__xludf.DUMMYFUNCTION("GOOGLEFINANCE(""524200"",""EPS"")"),"#N/A")</f>
        <v>#N/A</v>
      </c>
      <c r="O32" s="46">
        <v>2051.0</v>
      </c>
      <c r="P32" s="47">
        <v>489.0</v>
      </c>
      <c r="Q32" s="48">
        <v>0.24</v>
      </c>
      <c r="R32" s="46">
        <v>386.0</v>
      </c>
      <c r="S32" s="48">
        <v>0.19</v>
      </c>
      <c r="T32" s="47">
        <v>606.0</v>
      </c>
      <c r="U32" s="47">
        <v>1466.0</v>
      </c>
      <c r="V32" s="47">
        <v>1388.0</v>
      </c>
      <c r="W32" s="47">
        <v>0.0</v>
      </c>
      <c r="X32" s="46">
        <v>606.0</v>
      </c>
      <c r="Y32" s="50">
        <v>0.2028</v>
      </c>
      <c r="Z32" s="50">
        <v>0.2355</v>
      </c>
      <c r="AA32" s="50">
        <v>0.4733</v>
      </c>
      <c r="AB32" s="48">
        <v>0.21</v>
      </c>
      <c r="AC32" s="113">
        <f t="shared" si="58"/>
        <v>7.445626174</v>
      </c>
      <c r="AD32" s="75">
        <f t="shared" si="59"/>
        <v>0.8069306931</v>
      </c>
      <c r="AE32" s="75">
        <f t="shared" si="60"/>
        <v>0.6369636964</v>
      </c>
      <c r="AF32" s="54">
        <f t="shared" si="61"/>
        <v>7.774917492</v>
      </c>
      <c r="AG32" s="90" t="s">
        <v>2</v>
      </c>
      <c r="AH32" s="45"/>
      <c r="AI32" s="55"/>
    </row>
    <row r="33" ht="15.75" customHeight="1">
      <c r="A33" s="56">
        <v>4.0</v>
      </c>
      <c r="B33" s="78" t="s">
        <v>78</v>
      </c>
      <c r="C33" s="58">
        <v>2037.0</v>
      </c>
      <c r="D33" s="58">
        <v>8.0</v>
      </c>
      <c r="E33" s="59">
        <f t="shared" si="54"/>
        <v>16296</v>
      </c>
      <c r="F33" s="60">
        <f t="shared" si="55"/>
        <v>0.01056083367</v>
      </c>
      <c r="G33" s="79">
        <v>533282.0</v>
      </c>
      <c r="H33" s="62">
        <f>IFERROR(__xludf.DUMMYFUNCTION("GOOGLEFINANCE(""533282"")"),1611.3)</f>
        <v>1611.3</v>
      </c>
      <c r="I33" s="59">
        <f t="shared" si="56"/>
        <v>12890.4</v>
      </c>
      <c r="J33" s="80">
        <f t="shared" si="57"/>
        <v>-3405.6</v>
      </c>
      <c r="K33" s="63">
        <f t="shared" si="3"/>
        <v>-0.2089837997</v>
      </c>
      <c r="L33" s="64">
        <f>IFERROR(__xludf.DUMMYFUNCTION("GOOGLEFINANCE(""524200"",""marketcap"")/10^7"),15270.9792829)</f>
        <v>15270.97928</v>
      </c>
      <c r="M33" s="65" t="str">
        <f>IFERROR(__xludf.DUMMYFUNCTION("GOOGLEFINANCE(""524200"",""PE"")"),"#N/A")</f>
        <v>#N/A</v>
      </c>
      <c r="N33" s="65" t="str">
        <f>IFERROR(__xludf.DUMMYFUNCTION("GOOGLEFINANCE(""524200"",""EPS"")"),"#N/A")</f>
        <v>#N/A</v>
      </c>
      <c r="O33" s="67">
        <v>3456.0</v>
      </c>
      <c r="P33" s="67">
        <v>304.0</v>
      </c>
      <c r="Q33" s="112">
        <v>0.09</v>
      </c>
      <c r="R33" s="66">
        <v>269.0</v>
      </c>
      <c r="S33" s="68">
        <v>0.08</v>
      </c>
      <c r="T33" s="67">
        <v>42.0</v>
      </c>
      <c r="U33" s="67">
        <v>362.0</v>
      </c>
      <c r="V33" s="67">
        <v>154.0</v>
      </c>
      <c r="W33" s="67">
        <v>1.0</v>
      </c>
      <c r="X33" s="66">
        <v>121.0</v>
      </c>
      <c r="Y33" s="69">
        <v>0.3088</v>
      </c>
      <c r="Z33" s="69">
        <v>0.0871</v>
      </c>
      <c r="AA33" s="69">
        <v>0.6581</v>
      </c>
      <c r="AB33" s="68">
        <v>1.23</v>
      </c>
      <c r="AC33" s="113">
        <f t="shared" si="58"/>
        <v>4.418686135</v>
      </c>
      <c r="AD33" s="89">
        <f t="shared" si="59"/>
        <v>7.238095238</v>
      </c>
      <c r="AE33" s="89">
        <f t="shared" si="60"/>
        <v>6.404761905</v>
      </c>
      <c r="AF33" s="82">
        <f t="shared" si="61"/>
        <v>13.31652893</v>
      </c>
      <c r="AG33" s="90" t="s">
        <v>2</v>
      </c>
      <c r="AH33" s="65"/>
      <c r="AI33" s="83"/>
    </row>
    <row r="34" ht="15.75" customHeight="1">
      <c r="A34" s="35">
        <v>5.0</v>
      </c>
      <c r="B34" s="36" t="s">
        <v>79</v>
      </c>
      <c r="C34" s="37">
        <v>1197.0</v>
      </c>
      <c r="D34" s="37">
        <v>49.0</v>
      </c>
      <c r="E34" s="38">
        <f t="shared" si="54"/>
        <v>58653</v>
      </c>
      <c r="F34" s="39">
        <f t="shared" si="55"/>
        <v>0.03801083561</v>
      </c>
      <c r="G34" s="85">
        <v>540719.0</v>
      </c>
      <c r="H34" s="41">
        <f>IFERROR(__xludf.DUMMYFUNCTION("GOOGLEFINANCE(""540719"")"),2041.65)</f>
        <v>2041.65</v>
      </c>
      <c r="I34" s="38">
        <f t="shared" si="56"/>
        <v>100040.85</v>
      </c>
      <c r="J34" s="42">
        <f t="shared" si="57"/>
        <v>41387.85</v>
      </c>
      <c r="K34" s="43">
        <f t="shared" si="3"/>
        <v>0.7056390977</v>
      </c>
      <c r="L34" s="44">
        <f>IFERROR(__xludf.DUMMYFUNCTION("GOOGLEFINANCE(""540768"",""marketcap"")/10^7"),4102.3943481)</f>
        <v>4102.394348</v>
      </c>
      <c r="M34" s="45" t="str">
        <f>IFERROR(__xludf.DUMMYFUNCTION("GOOGLEFINANCE(""540768"",""PE"")"),"#N/A")</f>
        <v>#N/A</v>
      </c>
      <c r="N34" s="45" t="str">
        <f>IFERROR(__xludf.DUMMYFUNCTION("GOOGLEFINANCE(""540768"",""EPS"")"),"#N/A")</f>
        <v>#N/A</v>
      </c>
      <c r="O34" s="46">
        <v>150243.0</v>
      </c>
      <c r="P34" s="47">
        <v>763.0</v>
      </c>
      <c r="Q34" s="112">
        <v>0.01</v>
      </c>
      <c r="R34" s="46">
        <v>2181.0</v>
      </c>
      <c r="S34" s="112">
        <v>0.01</v>
      </c>
      <c r="T34" s="47">
        <v>29122.0</v>
      </c>
      <c r="U34" s="47">
        <v>122806.0</v>
      </c>
      <c r="V34" s="47">
        <v>122197.0</v>
      </c>
      <c r="W34" s="47">
        <v>0.0</v>
      </c>
      <c r="X34" s="46">
        <v>149.0</v>
      </c>
      <c r="Y34" s="50">
        <v>0.1724</v>
      </c>
      <c r="Z34" s="50">
        <v>0.0037</v>
      </c>
      <c r="AA34" s="50">
        <v>0.0916</v>
      </c>
      <c r="AB34" s="48">
        <v>0.19</v>
      </c>
      <c r="AC34" s="51">
        <f t="shared" si="58"/>
        <v>0.02730506145</v>
      </c>
      <c r="AD34" s="52">
        <f t="shared" si="59"/>
        <v>0.02620012362</v>
      </c>
      <c r="AE34" s="53">
        <f t="shared" si="60"/>
        <v>0.07489183435</v>
      </c>
      <c r="AF34" s="71">
        <f t="shared" si="61"/>
        <v>13.70234899</v>
      </c>
      <c r="AG34" s="72" t="s">
        <v>2</v>
      </c>
      <c r="AH34" s="76"/>
      <c r="AI34" s="115" t="s">
        <v>54</v>
      </c>
    </row>
    <row r="35" ht="15.75" customHeight="1">
      <c r="A35" s="119"/>
      <c r="B35" s="120"/>
      <c r="C35" s="121"/>
      <c r="D35" s="121"/>
      <c r="E35" s="122">
        <f>E29+E25+E20+E16+E9+E3</f>
        <v>1543060</v>
      </c>
      <c r="F35" s="122">
        <f t="shared" si="55"/>
        <v>1</v>
      </c>
      <c r="G35" s="122"/>
      <c r="H35" s="122"/>
      <c r="I35" s="122" t="str">
        <f t="shared" ref="I35:J35" si="62">I29+I25+I20+I16+I9+I3</f>
        <v>#N/A</v>
      </c>
      <c r="J35" s="122" t="str">
        <f t="shared" si="62"/>
        <v>#N/A</v>
      </c>
      <c r="K35" s="123" t="str">
        <f t="shared" si="3"/>
        <v>#N/A</v>
      </c>
      <c r="L35" s="122"/>
      <c r="M35" s="122"/>
      <c r="N35" s="122"/>
      <c r="O35" s="124"/>
      <c r="P35" s="124"/>
      <c r="Q35" s="124"/>
      <c r="R35" s="124"/>
      <c r="S35" s="124"/>
      <c r="T35" s="124"/>
      <c r="U35" s="124"/>
      <c r="V35" s="124"/>
      <c r="W35" s="124"/>
      <c r="X35" s="125"/>
      <c r="Y35" s="124"/>
      <c r="Z35" s="124"/>
      <c r="AA35" s="124"/>
      <c r="AB35" s="124"/>
      <c r="AC35" s="124"/>
      <c r="AD35" s="124"/>
      <c r="AE35" s="124"/>
      <c r="AF35" s="124"/>
      <c r="AG35" s="124"/>
      <c r="AH35" s="124"/>
      <c r="AI35" s="126"/>
    </row>
    <row r="36" ht="15.75" customHeight="1">
      <c r="H36" s="127"/>
      <c r="J36" s="128"/>
      <c r="X36" s="129"/>
    </row>
    <row r="37" ht="15.75" customHeight="1">
      <c r="H37" s="127"/>
      <c r="X37" s="129"/>
      <c r="AG37" s="2" t="s">
        <v>80</v>
      </c>
    </row>
    <row r="38" ht="15.75" customHeight="1">
      <c r="A38" s="130">
        <v>7.0</v>
      </c>
      <c r="B38" s="130" t="s">
        <v>81</v>
      </c>
      <c r="C38" s="131">
        <v>1647.0</v>
      </c>
      <c r="D38" s="131">
        <v>36.0</v>
      </c>
      <c r="E38" s="132">
        <f t="shared" ref="E38:E40" si="63">C38*D38</f>
        <v>59292</v>
      </c>
      <c r="F38" s="133">
        <f t="shared" ref="F38:F40" si="64">E38/$E$35</f>
        <v>0.03842494783</v>
      </c>
      <c r="G38" s="134">
        <v>500209.0</v>
      </c>
      <c r="H38" s="135">
        <f>IFERROR(__xludf.DUMMYFUNCTION("GOOGLEFINANCE(""500209"")"),1299.95)</f>
        <v>1299.95</v>
      </c>
      <c r="I38" s="132">
        <f t="shared" ref="I38:I40" si="65">H38*D38</f>
        <v>46798.2</v>
      </c>
      <c r="J38" s="132">
        <f t="shared" ref="J38:J40" si="66">I38-E38</f>
        <v>-12493.8</v>
      </c>
      <c r="K38" s="136">
        <f t="shared" ref="K38:K40" si="67">J38/E38</f>
        <v>-0.2107164542</v>
      </c>
      <c r="L38" s="137">
        <f>IFERROR(__xludf.DUMMYFUNCTION("GOOGLEFINANCE(""500209"",""marketcap"")/10^7"),5638.5353681)</f>
        <v>5638.535368</v>
      </c>
      <c r="M38" s="138" t="str">
        <f>IFERROR(__xludf.DUMMYFUNCTION("GOOGLEFINANCE(""500209"",""PE"")"),"#N/A")</f>
        <v>#N/A</v>
      </c>
      <c r="N38" s="138" t="str">
        <f>IFERROR(__xludf.DUMMYFUNCTION("GOOGLEFINANCE(""500209"",""EPS"")"),"#N/A")</f>
        <v>#N/A</v>
      </c>
      <c r="O38" s="139">
        <v>157045.0</v>
      </c>
      <c r="P38" s="140">
        <v>37167.0</v>
      </c>
      <c r="Q38" s="141">
        <v>0.24</v>
      </c>
      <c r="R38" s="139">
        <v>26949.0</v>
      </c>
      <c r="S38" s="141">
        <v>0.17</v>
      </c>
      <c r="T38" s="140">
        <v>25210.0</v>
      </c>
      <c r="U38" s="140">
        <v>111789.0</v>
      </c>
      <c r="V38" s="140">
        <v>100972.0</v>
      </c>
      <c r="W38" s="140">
        <v>0.0</v>
      </c>
      <c r="X38" s="139">
        <v>212.0</v>
      </c>
      <c r="Y38" s="142">
        <v>0.1522</v>
      </c>
      <c r="Z38" s="142">
        <v>0.2441</v>
      </c>
      <c r="AA38" s="142">
        <v>0.1067</v>
      </c>
      <c r="AB38" s="141">
        <v>0.02</v>
      </c>
      <c r="AC38" s="143">
        <f t="shared" ref="AC38:AC40" si="68">L38/O38</f>
        <v>0.03590394707</v>
      </c>
      <c r="AD38" s="144">
        <f t="shared" ref="AD38:AD40" si="69">P38/T38</f>
        <v>1.474295914</v>
      </c>
      <c r="AE38" s="144">
        <f t="shared" ref="AE38:AE40" si="70">R38/T38</f>
        <v>1.068980563</v>
      </c>
      <c r="AF38" s="145">
        <f t="shared" ref="AF38:AF40" si="71">H38/X38</f>
        <v>6.131839623</v>
      </c>
      <c r="AG38" s="138">
        <v>1920.0</v>
      </c>
      <c r="AH38" s="138">
        <f t="shared" ref="AH38:AH40" si="72">(H38-AG38)*D38</f>
        <v>-22321.8</v>
      </c>
      <c r="AI38" s="138"/>
    </row>
    <row r="39" ht="15.75" customHeight="1">
      <c r="A39" s="130">
        <v>10.0</v>
      </c>
      <c r="B39" s="130" t="s">
        <v>82</v>
      </c>
      <c r="C39" s="131">
        <v>1103.0</v>
      </c>
      <c r="D39" s="131">
        <v>45.0</v>
      </c>
      <c r="E39" s="132">
        <f t="shared" si="63"/>
        <v>49635</v>
      </c>
      <c r="F39" s="133">
        <f t="shared" si="64"/>
        <v>0.03216660402</v>
      </c>
      <c r="G39" s="146">
        <v>543237.0</v>
      </c>
      <c r="H39" s="135">
        <f>IFERROR(__xludf.DUMMYFUNCTION("GOOGLEFINANCE(""543227"")"),360.9)</f>
        <v>360.9</v>
      </c>
      <c r="I39" s="132">
        <f t="shared" si="65"/>
        <v>16240.5</v>
      </c>
      <c r="J39" s="132">
        <f t="shared" si="66"/>
        <v>-33394.5</v>
      </c>
      <c r="K39" s="136">
        <f t="shared" si="67"/>
        <v>-0.6728014506</v>
      </c>
      <c r="L39" s="137">
        <f>IFERROR(__xludf.DUMMYFUNCTION("GOOGLEFINANCE(""543227"",""marketcap"")/10^7"),5408.3196)</f>
        <v>5408.3196</v>
      </c>
      <c r="M39" s="138" t="str">
        <f>IFERROR(__xludf.DUMMYFUNCTION("GOOGLEFINANCE(""543227"",""PE"")"),"#N/A")</f>
        <v>#N/A</v>
      </c>
      <c r="N39" s="138" t="str">
        <f>IFERROR(__xludf.DUMMYFUNCTION("GOOGLEFINANCE(""543227"",""EPS"")"),"#N/A")</f>
        <v>#N/A</v>
      </c>
      <c r="O39" s="139">
        <v>1493.0</v>
      </c>
      <c r="P39" s="140">
        <v>256.0</v>
      </c>
      <c r="Q39" s="141">
        <v>0.17</v>
      </c>
      <c r="R39" s="139">
        <v>216.0</v>
      </c>
      <c r="S39" s="141">
        <v>0.14</v>
      </c>
      <c r="T39" s="140">
        <v>189.0</v>
      </c>
      <c r="U39" s="140">
        <v>783.0</v>
      </c>
      <c r="V39" s="140">
        <v>641.0</v>
      </c>
      <c r="W39" s="140">
        <v>0.0</v>
      </c>
      <c r="X39" s="139">
        <v>99.0</v>
      </c>
      <c r="Y39" s="142">
        <v>0.2462</v>
      </c>
      <c r="Z39" s="142">
        <v>0.2228</v>
      </c>
      <c r="AA39" s="142">
        <v>0.1492</v>
      </c>
      <c r="AB39" s="141">
        <v>0.13</v>
      </c>
      <c r="AC39" s="143">
        <f t="shared" si="68"/>
        <v>3.622451172</v>
      </c>
      <c r="AD39" s="144">
        <f t="shared" si="69"/>
        <v>1.354497354</v>
      </c>
      <c r="AE39" s="144">
        <f t="shared" si="70"/>
        <v>1.142857143</v>
      </c>
      <c r="AF39" s="145">
        <f t="shared" si="71"/>
        <v>3.645454545</v>
      </c>
      <c r="AG39" s="138">
        <v>716.0</v>
      </c>
      <c r="AH39" s="138">
        <f t="shared" si="72"/>
        <v>-15979.5</v>
      </c>
      <c r="AI39" s="138" t="s">
        <v>61</v>
      </c>
    </row>
    <row r="40" ht="15.75" customHeight="1">
      <c r="A40" s="130">
        <v>5.0</v>
      </c>
      <c r="B40" s="130" t="s">
        <v>83</v>
      </c>
      <c r="C40" s="131">
        <v>20.0</v>
      </c>
      <c r="D40" s="131">
        <v>1332.0</v>
      </c>
      <c r="E40" s="132">
        <f t="shared" si="63"/>
        <v>26640</v>
      </c>
      <c r="F40" s="133">
        <f t="shared" si="64"/>
        <v>0.01726439672</v>
      </c>
      <c r="G40" s="146">
        <v>543272.0</v>
      </c>
      <c r="H40" s="135">
        <f>IFERROR(__xludf.DUMMYFUNCTION("GOOGLEFINANCE(""543272"")"),8.62)</f>
        <v>8.62</v>
      </c>
      <c r="I40" s="132">
        <f t="shared" si="65"/>
        <v>11481.84</v>
      </c>
      <c r="J40" s="132">
        <f t="shared" si="66"/>
        <v>-15158.16</v>
      </c>
      <c r="K40" s="136">
        <f t="shared" si="67"/>
        <v>-0.569</v>
      </c>
      <c r="L40" s="137">
        <f>IFERROR(__xludf.DUMMYFUNCTION("GOOGLEFINANCE(""524200"",""marketcap"")/10^7"),15270.9792829)</f>
        <v>15270.97928</v>
      </c>
      <c r="M40" s="138" t="str">
        <f>IFERROR(__xludf.DUMMYFUNCTION("GOOGLEFINANCE(""524200"",""PE"")"),"#N/A")</f>
        <v>#N/A</v>
      </c>
      <c r="N40" s="138" t="str">
        <f>IFERROR(__xludf.DUMMYFUNCTION("GOOGLEFINANCE(""524200"",""EPS"")"),"#N/A")</f>
        <v>#N/A</v>
      </c>
      <c r="O40" s="139">
        <v>468.0</v>
      </c>
      <c r="P40" s="140">
        <v>194.0</v>
      </c>
      <c r="Q40" s="141">
        <v>0.42</v>
      </c>
      <c r="R40" s="139">
        <v>104.0</v>
      </c>
      <c r="S40" s="141">
        <v>0.22</v>
      </c>
      <c r="T40" s="140">
        <v>114.0</v>
      </c>
      <c r="U40" s="140">
        <v>161.0</v>
      </c>
      <c r="V40" s="140">
        <v>165.0</v>
      </c>
      <c r="W40" s="140">
        <v>0.0</v>
      </c>
      <c r="X40" s="139">
        <v>2.0</v>
      </c>
      <c r="Y40" s="142">
        <v>0.515</v>
      </c>
      <c r="Z40" s="142">
        <v>0.4698</v>
      </c>
      <c r="AA40" s="142">
        <v>0.2415</v>
      </c>
      <c r="AB40" s="141">
        <v>0.5</v>
      </c>
      <c r="AC40" s="143">
        <f t="shared" si="68"/>
        <v>32.63029761</v>
      </c>
      <c r="AD40" s="144">
        <f t="shared" si="69"/>
        <v>1.701754386</v>
      </c>
      <c r="AE40" s="144">
        <f t="shared" si="70"/>
        <v>0.9122807018</v>
      </c>
      <c r="AF40" s="145">
        <f t="shared" si="71"/>
        <v>4.31</v>
      </c>
      <c r="AG40" s="138">
        <v>15.5</v>
      </c>
      <c r="AH40" s="138">
        <f t="shared" si="72"/>
        <v>-9164.16</v>
      </c>
      <c r="AI40" s="138" t="s">
        <v>54</v>
      </c>
    </row>
    <row r="41" ht="15.75" customHeight="1">
      <c r="H41" s="127"/>
      <c r="X41" s="129"/>
      <c r="AH41" s="4">
        <f>SUM(AH38:AH40)</f>
        <v>-47465.46</v>
      </c>
    </row>
    <row r="42" ht="15.75" customHeight="1">
      <c r="H42" s="127"/>
      <c r="X42" s="129"/>
    </row>
    <row r="43" ht="15.75" customHeight="1">
      <c r="H43" s="127"/>
      <c r="X43" s="129"/>
    </row>
    <row r="44" ht="15.75" customHeight="1">
      <c r="H44" s="127"/>
      <c r="X44" s="129"/>
    </row>
    <row r="45" ht="15.75" customHeight="1">
      <c r="H45" s="127"/>
      <c r="X45" s="129"/>
    </row>
    <row r="46" ht="15.75" customHeight="1">
      <c r="H46" s="127"/>
      <c r="X46" s="129"/>
    </row>
    <row r="47" ht="15.75" customHeight="1">
      <c r="H47" s="127"/>
      <c r="X47" s="129"/>
    </row>
    <row r="48" ht="15.75" customHeight="1">
      <c r="H48" s="127"/>
      <c r="X48" s="129"/>
    </row>
    <row r="49" ht="15.75" customHeight="1">
      <c r="H49" s="127"/>
      <c r="X49" s="129"/>
    </row>
    <row r="50" ht="15.75" customHeight="1">
      <c r="H50" s="127"/>
      <c r="X50" s="129"/>
    </row>
    <row r="51" ht="15.75" customHeight="1">
      <c r="H51" s="127"/>
      <c r="X51" s="129"/>
    </row>
    <row r="52" ht="15.75" customHeight="1">
      <c r="H52" s="127"/>
      <c r="X52" s="129"/>
    </row>
    <row r="53" ht="15.75" customHeight="1">
      <c r="H53" s="127"/>
      <c r="X53" s="129"/>
    </row>
    <row r="54" ht="15.75" customHeight="1">
      <c r="H54" s="127"/>
      <c r="X54" s="129"/>
    </row>
    <row r="55" ht="15.75" customHeight="1">
      <c r="H55" s="127"/>
      <c r="X55" s="129"/>
    </row>
    <row r="56" ht="15.75" customHeight="1">
      <c r="H56" s="127"/>
      <c r="X56" s="129"/>
    </row>
    <row r="57" ht="15.75" customHeight="1">
      <c r="H57" s="127"/>
      <c r="X57" s="129"/>
    </row>
    <row r="58" ht="15.75" customHeight="1">
      <c r="H58" s="127"/>
      <c r="X58" s="129"/>
    </row>
    <row r="59" ht="15.75" customHeight="1">
      <c r="H59" s="127"/>
      <c r="X59" s="129"/>
    </row>
    <row r="60" ht="15.75" customHeight="1">
      <c r="H60" s="127"/>
      <c r="X60" s="129"/>
    </row>
    <row r="61" ht="15.75" customHeight="1">
      <c r="H61" s="127"/>
      <c r="X61" s="129"/>
    </row>
    <row r="62" ht="15.75" customHeight="1">
      <c r="H62" s="127"/>
      <c r="X62" s="129"/>
    </row>
    <row r="63" ht="15.75" customHeight="1">
      <c r="H63" s="127"/>
      <c r="X63" s="129"/>
    </row>
    <row r="64" ht="15.75" customHeight="1">
      <c r="H64" s="127"/>
      <c r="X64" s="129"/>
    </row>
    <row r="65" ht="15.75" customHeight="1">
      <c r="H65" s="127"/>
      <c r="X65" s="129"/>
    </row>
    <row r="66" ht="15.75" customHeight="1">
      <c r="H66" s="127"/>
      <c r="X66" s="129"/>
    </row>
    <row r="67" ht="15.75" customHeight="1">
      <c r="H67" s="127"/>
      <c r="X67" s="129"/>
    </row>
    <row r="68" ht="15.75" customHeight="1">
      <c r="H68" s="127"/>
      <c r="X68" s="129"/>
    </row>
    <row r="69" ht="15.75" customHeight="1">
      <c r="H69" s="127"/>
      <c r="X69" s="129"/>
    </row>
    <row r="70" ht="15.75" customHeight="1">
      <c r="H70" s="127"/>
      <c r="X70" s="129"/>
    </row>
    <row r="71" ht="15.75" customHeight="1">
      <c r="H71" s="127"/>
      <c r="X71" s="129"/>
    </row>
    <row r="72" ht="15.75" customHeight="1">
      <c r="H72" s="127"/>
      <c r="X72" s="129"/>
    </row>
    <row r="73" ht="15.75" customHeight="1">
      <c r="H73" s="127"/>
      <c r="X73" s="129"/>
    </row>
    <row r="74" ht="15.75" customHeight="1">
      <c r="H74" s="127"/>
      <c r="X74" s="129"/>
    </row>
    <row r="75" ht="15.75" customHeight="1">
      <c r="H75" s="127"/>
      <c r="X75" s="129"/>
    </row>
    <row r="76" ht="15.75" customHeight="1">
      <c r="H76" s="127"/>
      <c r="X76" s="129"/>
    </row>
    <row r="77" ht="15.75" customHeight="1">
      <c r="H77" s="127"/>
      <c r="X77" s="129"/>
    </row>
    <row r="78" ht="15.75" customHeight="1">
      <c r="H78" s="127"/>
      <c r="X78" s="129"/>
    </row>
    <row r="79" ht="15.75" customHeight="1">
      <c r="H79" s="127"/>
      <c r="X79" s="129"/>
    </row>
    <row r="80" ht="15.75" customHeight="1">
      <c r="H80" s="127"/>
      <c r="X80" s="129"/>
    </row>
    <row r="81" ht="15.75" customHeight="1">
      <c r="H81" s="127"/>
      <c r="X81" s="129"/>
    </row>
    <row r="82" ht="15.75" customHeight="1">
      <c r="H82" s="127"/>
      <c r="X82" s="129"/>
    </row>
    <row r="83" ht="15.75" customHeight="1">
      <c r="H83" s="127"/>
      <c r="X83" s="129"/>
    </row>
    <row r="84" ht="15.75" customHeight="1">
      <c r="H84" s="127"/>
      <c r="X84" s="129"/>
    </row>
    <row r="85" ht="15.75" customHeight="1">
      <c r="H85" s="127"/>
      <c r="X85" s="129"/>
    </row>
    <row r="86" ht="15.75" customHeight="1">
      <c r="H86" s="127"/>
      <c r="X86" s="129"/>
    </row>
    <row r="87" ht="15.75" customHeight="1">
      <c r="H87" s="127"/>
      <c r="X87" s="129"/>
    </row>
    <row r="88" ht="15.75" customHeight="1">
      <c r="H88" s="127"/>
      <c r="X88" s="129"/>
    </row>
    <row r="89" ht="15.75" customHeight="1">
      <c r="H89" s="127"/>
      <c r="X89" s="129"/>
    </row>
    <row r="90" ht="15.75" customHeight="1">
      <c r="H90" s="127"/>
      <c r="X90" s="129"/>
    </row>
    <row r="91" ht="15.75" customHeight="1">
      <c r="H91" s="127"/>
      <c r="X91" s="129"/>
    </row>
    <row r="92" ht="15.75" customHeight="1">
      <c r="H92" s="127"/>
      <c r="X92" s="129"/>
    </row>
    <row r="93" ht="15.75" customHeight="1">
      <c r="H93" s="127"/>
      <c r="X93" s="129"/>
    </row>
    <row r="94" ht="15.75" customHeight="1">
      <c r="H94" s="127"/>
      <c r="X94" s="129"/>
    </row>
    <row r="95" ht="15.75" customHeight="1">
      <c r="H95" s="127"/>
      <c r="X95" s="129"/>
    </row>
    <row r="96" ht="15.75" customHeight="1">
      <c r="H96" s="127"/>
      <c r="X96" s="129"/>
    </row>
    <row r="97" ht="15.75" customHeight="1">
      <c r="H97" s="127"/>
      <c r="X97" s="129"/>
    </row>
    <row r="98" ht="15.75" customHeight="1">
      <c r="H98" s="127"/>
      <c r="X98" s="129"/>
    </row>
    <row r="99" ht="15.75" customHeight="1">
      <c r="H99" s="127"/>
      <c r="X99" s="129"/>
    </row>
    <row r="100" ht="15.75" customHeight="1">
      <c r="H100" s="127"/>
      <c r="X100" s="129"/>
    </row>
    <row r="101" ht="15.75" customHeight="1">
      <c r="H101" s="127"/>
      <c r="X101" s="129"/>
    </row>
    <row r="102" ht="15.75" customHeight="1">
      <c r="H102" s="127"/>
      <c r="X102" s="129"/>
    </row>
    <row r="103" ht="15.75" customHeight="1">
      <c r="H103" s="127"/>
      <c r="X103" s="129"/>
    </row>
    <row r="104" ht="15.75" customHeight="1">
      <c r="H104" s="127"/>
      <c r="X104" s="129"/>
    </row>
    <row r="105" ht="15.75" customHeight="1">
      <c r="H105" s="127"/>
      <c r="X105" s="129"/>
    </row>
    <row r="106" ht="15.75" customHeight="1">
      <c r="H106" s="127"/>
      <c r="X106" s="129"/>
    </row>
    <row r="107" ht="15.75" customHeight="1">
      <c r="H107" s="127"/>
      <c r="X107" s="129"/>
    </row>
    <row r="108" ht="15.75" customHeight="1">
      <c r="H108" s="127"/>
      <c r="X108" s="129"/>
    </row>
    <row r="109" ht="15.75" customHeight="1">
      <c r="H109" s="127"/>
      <c r="X109" s="129"/>
    </row>
    <row r="110" ht="15.75" customHeight="1">
      <c r="H110" s="127"/>
      <c r="X110" s="129"/>
    </row>
    <row r="111" ht="15.75" customHeight="1">
      <c r="H111" s="127"/>
      <c r="X111" s="129"/>
    </row>
    <row r="112" ht="15.75" customHeight="1">
      <c r="H112" s="127"/>
      <c r="X112" s="129"/>
    </row>
    <row r="113" ht="15.75" customHeight="1">
      <c r="H113" s="127"/>
      <c r="X113" s="129"/>
    </row>
    <row r="114" ht="15.75" customHeight="1">
      <c r="H114" s="127"/>
      <c r="X114" s="129"/>
    </row>
    <row r="115" ht="15.75" customHeight="1">
      <c r="H115" s="127"/>
      <c r="X115" s="129"/>
    </row>
    <row r="116" ht="15.75" customHeight="1">
      <c r="H116" s="127"/>
      <c r="X116" s="129"/>
    </row>
    <row r="117" ht="15.75" customHeight="1">
      <c r="H117" s="127"/>
      <c r="X117" s="129"/>
    </row>
    <row r="118" ht="15.75" customHeight="1">
      <c r="H118" s="127"/>
      <c r="X118" s="129"/>
    </row>
    <row r="119" ht="15.75" customHeight="1">
      <c r="H119" s="127"/>
      <c r="X119" s="129"/>
    </row>
    <row r="120" ht="15.75" customHeight="1">
      <c r="H120" s="127"/>
      <c r="X120" s="129"/>
    </row>
    <row r="121" ht="15.75" customHeight="1">
      <c r="H121" s="127"/>
      <c r="X121" s="129"/>
    </row>
    <row r="122" ht="15.75" customHeight="1">
      <c r="H122" s="127"/>
      <c r="X122" s="129"/>
    </row>
    <row r="123" ht="15.75" customHeight="1">
      <c r="H123" s="127"/>
      <c r="X123" s="129"/>
    </row>
    <row r="124" ht="15.75" customHeight="1">
      <c r="H124" s="127"/>
      <c r="X124" s="129"/>
    </row>
    <row r="125" ht="15.75" customHeight="1">
      <c r="H125" s="127"/>
      <c r="X125" s="129"/>
    </row>
    <row r="126" ht="15.75" customHeight="1">
      <c r="H126" s="127"/>
      <c r="X126" s="129"/>
    </row>
    <row r="127" ht="15.75" customHeight="1">
      <c r="H127" s="127"/>
      <c r="X127" s="129"/>
    </row>
    <row r="128" ht="15.75" customHeight="1">
      <c r="H128" s="127"/>
      <c r="X128" s="129"/>
    </row>
    <row r="129" ht="15.75" customHeight="1">
      <c r="H129" s="127"/>
      <c r="X129" s="129"/>
    </row>
    <row r="130" ht="15.75" customHeight="1">
      <c r="H130" s="127"/>
      <c r="X130" s="129"/>
    </row>
    <row r="131" ht="15.75" customHeight="1">
      <c r="H131" s="127"/>
      <c r="X131" s="129"/>
    </row>
    <row r="132" ht="15.75" customHeight="1">
      <c r="H132" s="127"/>
      <c r="X132" s="129"/>
    </row>
    <row r="133" ht="15.75" customHeight="1">
      <c r="H133" s="127"/>
      <c r="X133" s="129"/>
    </row>
    <row r="134" ht="15.75" customHeight="1">
      <c r="H134" s="127"/>
      <c r="X134" s="129"/>
    </row>
    <row r="135" ht="15.75" customHeight="1">
      <c r="H135" s="127"/>
      <c r="X135" s="129"/>
    </row>
    <row r="136" ht="15.75" customHeight="1">
      <c r="H136" s="127"/>
      <c r="X136" s="129"/>
    </row>
    <row r="137" ht="15.75" customHeight="1">
      <c r="H137" s="127"/>
      <c r="X137" s="129"/>
    </row>
    <row r="138" ht="15.75" customHeight="1">
      <c r="H138" s="127"/>
      <c r="X138" s="129"/>
    </row>
    <row r="139" ht="15.75" customHeight="1">
      <c r="H139" s="127"/>
      <c r="X139" s="129"/>
    </row>
    <row r="140" ht="15.75" customHeight="1">
      <c r="H140" s="127"/>
      <c r="X140" s="129"/>
    </row>
    <row r="141" ht="15.75" customHeight="1">
      <c r="H141" s="127"/>
      <c r="X141" s="129"/>
    </row>
    <row r="142" ht="15.75" customHeight="1">
      <c r="H142" s="127"/>
      <c r="X142" s="129"/>
    </row>
    <row r="143" ht="15.75" customHeight="1">
      <c r="H143" s="127"/>
      <c r="X143" s="129"/>
    </row>
    <row r="144" ht="15.75" customHeight="1">
      <c r="H144" s="127"/>
      <c r="X144" s="129"/>
    </row>
    <row r="145" ht="15.75" customHeight="1">
      <c r="H145" s="127"/>
      <c r="X145" s="129"/>
    </row>
    <row r="146" ht="15.75" customHeight="1">
      <c r="H146" s="127"/>
      <c r="X146" s="129"/>
    </row>
    <row r="147" ht="15.75" customHeight="1">
      <c r="H147" s="127"/>
      <c r="X147" s="129"/>
    </row>
    <row r="148" ht="15.75" customHeight="1">
      <c r="H148" s="127"/>
      <c r="X148" s="129"/>
    </row>
    <row r="149" ht="15.75" customHeight="1">
      <c r="H149" s="127"/>
      <c r="X149" s="129"/>
    </row>
    <row r="150" ht="15.75" customHeight="1">
      <c r="H150" s="127"/>
      <c r="X150" s="129"/>
    </row>
    <row r="151" ht="15.75" customHeight="1">
      <c r="H151" s="127"/>
      <c r="X151" s="129"/>
    </row>
    <row r="152" ht="15.75" customHeight="1">
      <c r="H152" s="127"/>
      <c r="X152" s="129"/>
    </row>
    <row r="153" ht="15.75" customHeight="1">
      <c r="H153" s="127"/>
      <c r="X153" s="129"/>
    </row>
    <row r="154" ht="15.75" customHeight="1">
      <c r="H154" s="127"/>
      <c r="X154" s="129"/>
    </row>
    <row r="155" ht="15.75" customHeight="1">
      <c r="H155" s="127"/>
      <c r="X155" s="129"/>
    </row>
    <row r="156" ht="15.75" customHeight="1">
      <c r="H156" s="127"/>
      <c r="X156" s="129"/>
    </row>
    <row r="157" ht="15.75" customHeight="1">
      <c r="H157" s="127"/>
      <c r="X157" s="129"/>
    </row>
    <row r="158" ht="15.75" customHeight="1">
      <c r="H158" s="127"/>
      <c r="X158" s="129"/>
    </row>
    <row r="159" ht="15.75" customHeight="1">
      <c r="H159" s="127"/>
      <c r="X159" s="129"/>
    </row>
    <row r="160" ht="15.75" customHeight="1">
      <c r="H160" s="127"/>
      <c r="X160" s="129"/>
    </row>
    <row r="161" ht="15.75" customHeight="1">
      <c r="H161" s="127"/>
      <c r="X161" s="129"/>
    </row>
    <row r="162" ht="15.75" customHeight="1">
      <c r="H162" s="127"/>
      <c r="X162" s="129"/>
    </row>
    <row r="163" ht="15.75" customHeight="1">
      <c r="H163" s="127"/>
      <c r="X163" s="129"/>
    </row>
    <row r="164" ht="15.75" customHeight="1">
      <c r="H164" s="127"/>
      <c r="X164" s="129"/>
    </row>
    <row r="165" ht="15.75" customHeight="1">
      <c r="H165" s="127"/>
      <c r="X165" s="129"/>
    </row>
    <row r="166" ht="15.75" customHeight="1">
      <c r="H166" s="127"/>
      <c r="X166" s="129"/>
    </row>
    <row r="167" ht="15.75" customHeight="1">
      <c r="H167" s="127"/>
      <c r="X167" s="129"/>
    </row>
    <row r="168" ht="15.75" customHeight="1">
      <c r="H168" s="127"/>
      <c r="X168" s="129"/>
    </row>
    <row r="169" ht="15.75" customHeight="1">
      <c r="H169" s="127"/>
      <c r="X169" s="129"/>
    </row>
    <row r="170" ht="15.75" customHeight="1">
      <c r="H170" s="127"/>
      <c r="X170" s="129"/>
    </row>
    <row r="171" ht="15.75" customHeight="1">
      <c r="H171" s="127"/>
      <c r="X171" s="129"/>
    </row>
    <row r="172" ht="15.75" customHeight="1">
      <c r="H172" s="127"/>
      <c r="X172" s="129"/>
    </row>
    <row r="173" ht="15.75" customHeight="1">
      <c r="H173" s="127"/>
      <c r="X173" s="129"/>
    </row>
    <row r="174" ht="15.75" customHeight="1">
      <c r="H174" s="127"/>
      <c r="X174" s="129"/>
    </row>
    <row r="175" ht="15.75" customHeight="1">
      <c r="H175" s="127"/>
      <c r="X175" s="129"/>
    </row>
    <row r="176" ht="15.75" customHeight="1">
      <c r="H176" s="127"/>
      <c r="X176" s="129"/>
    </row>
    <row r="177" ht="15.75" customHeight="1">
      <c r="H177" s="127"/>
      <c r="X177" s="129"/>
    </row>
    <row r="178" ht="15.75" customHeight="1">
      <c r="H178" s="127"/>
      <c r="X178" s="129"/>
    </row>
    <row r="179" ht="15.75" customHeight="1">
      <c r="H179" s="127"/>
      <c r="X179" s="129"/>
    </row>
    <row r="180" ht="15.75" customHeight="1">
      <c r="H180" s="127"/>
      <c r="X180" s="129"/>
    </row>
    <row r="181" ht="15.75" customHeight="1">
      <c r="H181" s="127"/>
      <c r="X181" s="129"/>
    </row>
    <row r="182" ht="15.75" customHeight="1">
      <c r="H182" s="127"/>
      <c r="X182" s="129"/>
    </row>
    <row r="183" ht="15.75" customHeight="1">
      <c r="H183" s="127"/>
      <c r="X183" s="129"/>
    </row>
    <row r="184" ht="15.75" customHeight="1">
      <c r="H184" s="127"/>
      <c r="X184" s="129"/>
    </row>
    <row r="185" ht="15.75" customHeight="1">
      <c r="H185" s="127"/>
      <c r="X185" s="129"/>
    </row>
    <row r="186" ht="15.75" customHeight="1">
      <c r="H186" s="127"/>
      <c r="X186" s="129"/>
    </row>
    <row r="187" ht="15.75" customHeight="1">
      <c r="H187" s="127"/>
      <c r="X187" s="129"/>
    </row>
    <row r="188" ht="15.75" customHeight="1">
      <c r="H188" s="127"/>
      <c r="X188" s="129"/>
    </row>
    <row r="189" ht="15.75" customHeight="1">
      <c r="H189" s="127"/>
      <c r="X189" s="129"/>
    </row>
    <row r="190" ht="15.75" customHeight="1">
      <c r="H190" s="127"/>
      <c r="X190" s="129"/>
    </row>
    <row r="191" ht="15.75" customHeight="1">
      <c r="H191" s="127"/>
      <c r="X191" s="129"/>
    </row>
    <row r="192" ht="15.75" customHeight="1">
      <c r="H192" s="127"/>
      <c r="X192" s="129"/>
    </row>
    <row r="193" ht="15.75" customHeight="1">
      <c r="H193" s="127"/>
      <c r="X193" s="129"/>
    </row>
    <row r="194" ht="15.75" customHeight="1">
      <c r="H194" s="127"/>
      <c r="X194" s="129"/>
    </row>
    <row r="195" ht="15.75" customHeight="1">
      <c r="H195" s="127"/>
      <c r="X195" s="129"/>
    </row>
    <row r="196" ht="15.75" customHeight="1">
      <c r="H196" s="127"/>
      <c r="X196" s="129"/>
    </row>
    <row r="197" ht="15.75" customHeight="1">
      <c r="H197" s="127"/>
      <c r="X197" s="129"/>
    </row>
    <row r="198" ht="15.75" customHeight="1">
      <c r="H198" s="127"/>
      <c r="X198" s="129"/>
    </row>
    <row r="199" ht="15.75" customHeight="1">
      <c r="H199" s="127"/>
      <c r="X199" s="129"/>
    </row>
    <row r="200" ht="15.75" customHeight="1">
      <c r="H200" s="127"/>
      <c r="X200" s="129"/>
    </row>
    <row r="201" ht="15.75" customHeight="1">
      <c r="H201" s="127"/>
      <c r="X201" s="129"/>
    </row>
    <row r="202" ht="15.75" customHeight="1">
      <c r="H202" s="127"/>
      <c r="X202" s="129"/>
    </row>
    <row r="203" ht="15.75" customHeight="1">
      <c r="H203" s="127"/>
      <c r="X203" s="129"/>
    </row>
    <row r="204" ht="15.75" customHeight="1">
      <c r="H204" s="127"/>
      <c r="X204" s="129"/>
    </row>
    <row r="205" ht="15.75" customHeight="1">
      <c r="H205" s="127"/>
      <c r="X205" s="129"/>
    </row>
    <row r="206" ht="15.75" customHeight="1">
      <c r="H206" s="127"/>
      <c r="X206" s="129"/>
    </row>
    <row r="207" ht="15.75" customHeight="1">
      <c r="H207" s="127"/>
      <c r="X207" s="129"/>
    </row>
    <row r="208" ht="15.75" customHeight="1">
      <c r="H208" s="127"/>
      <c r="X208" s="129"/>
    </row>
    <row r="209" ht="15.75" customHeight="1">
      <c r="H209" s="127"/>
      <c r="X209" s="129"/>
    </row>
    <row r="210" ht="15.75" customHeight="1">
      <c r="H210" s="127"/>
      <c r="X210" s="129"/>
    </row>
    <row r="211" ht="15.75" customHeight="1">
      <c r="H211" s="127"/>
      <c r="X211" s="129"/>
    </row>
    <row r="212" ht="15.75" customHeight="1">
      <c r="H212" s="127"/>
      <c r="X212" s="129"/>
    </row>
    <row r="213" ht="15.75" customHeight="1">
      <c r="H213" s="127"/>
      <c r="X213" s="129"/>
    </row>
    <row r="214" ht="15.75" customHeight="1">
      <c r="H214" s="127"/>
      <c r="X214" s="129"/>
    </row>
    <row r="215" ht="15.75" customHeight="1">
      <c r="H215" s="127"/>
      <c r="X215" s="129"/>
    </row>
    <row r="216" ht="15.75" customHeight="1">
      <c r="H216" s="127"/>
      <c r="X216" s="129"/>
    </row>
    <row r="217" ht="15.75" customHeight="1">
      <c r="H217" s="127"/>
      <c r="X217" s="129"/>
    </row>
    <row r="218" ht="15.75" customHeight="1">
      <c r="H218" s="127"/>
      <c r="X218" s="129"/>
    </row>
    <row r="219" ht="15.75" customHeight="1">
      <c r="H219" s="127"/>
      <c r="X219" s="129"/>
    </row>
    <row r="220" ht="15.75" customHeight="1">
      <c r="H220" s="127"/>
      <c r="X220" s="129"/>
    </row>
    <row r="221" ht="15.75" customHeight="1">
      <c r="H221" s="127"/>
      <c r="X221" s="129"/>
    </row>
    <row r="222" ht="15.75" customHeight="1">
      <c r="H222" s="127"/>
      <c r="X222" s="129"/>
    </row>
    <row r="223" ht="15.75" customHeight="1">
      <c r="H223" s="127"/>
      <c r="X223" s="129"/>
    </row>
    <row r="224" ht="15.75" customHeight="1">
      <c r="H224" s="127"/>
      <c r="X224" s="129"/>
    </row>
    <row r="225" ht="15.75" customHeight="1">
      <c r="H225" s="127"/>
      <c r="X225" s="129"/>
    </row>
    <row r="226" ht="15.75" customHeight="1">
      <c r="H226" s="127"/>
      <c r="X226" s="129"/>
    </row>
    <row r="227" ht="15.75" customHeight="1">
      <c r="H227" s="127"/>
      <c r="X227" s="129"/>
    </row>
    <row r="228" ht="15.75" customHeight="1">
      <c r="H228" s="127"/>
      <c r="X228" s="129"/>
    </row>
    <row r="229" ht="15.75" customHeight="1">
      <c r="H229" s="127"/>
      <c r="X229" s="129"/>
    </row>
    <row r="230" ht="15.75" customHeight="1">
      <c r="H230" s="127"/>
      <c r="X230" s="129"/>
    </row>
    <row r="231" ht="15.75" customHeight="1">
      <c r="H231" s="127"/>
      <c r="X231" s="129"/>
    </row>
    <row r="232" ht="15.75" customHeight="1">
      <c r="H232" s="127"/>
      <c r="X232" s="129"/>
    </row>
    <row r="233" ht="15.75" customHeight="1">
      <c r="H233" s="127"/>
      <c r="X233" s="129"/>
    </row>
    <row r="234" ht="15.75" customHeight="1">
      <c r="H234" s="127"/>
      <c r="X234" s="129"/>
    </row>
    <row r="235" ht="15.75" customHeight="1">
      <c r="H235" s="127"/>
      <c r="X235" s="129"/>
    </row>
    <row r="236" ht="15.75" customHeight="1">
      <c r="H236" s="127"/>
      <c r="X236" s="129"/>
    </row>
    <row r="237" ht="15.75" customHeight="1">
      <c r="H237" s="127"/>
      <c r="X237" s="129"/>
    </row>
    <row r="238" ht="15.75" customHeight="1">
      <c r="H238" s="127"/>
      <c r="X238" s="129"/>
    </row>
    <row r="239" ht="15.75" customHeight="1">
      <c r="H239" s="127"/>
      <c r="X239" s="129"/>
    </row>
    <row r="240" ht="15.75" customHeight="1">
      <c r="H240" s="127"/>
      <c r="X240" s="129"/>
    </row>
    <row r="241" ht="15.75" customHeight="1">
      <c r="H241" s="127"/>
      <c r="X241" s="129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O1:U1"/>
    <mergeCell ref="Y1:AB1"/>
  </mergeCells>
  <conditionalFormatting sqref="J4:J8 J10:J15 J17:J19 J21:J24 J26:J28 J30:J34 J38:J40">
    <cfRule type="cellIs" dxfId="5" priority="1" operator="greaterThan">
      <formula>0</formula>
    </cfRule>
  </conditionalFormatting>
  <conditionalFormatting sqref="J4:J8 J10:J15 J17:J19 J21:J24 J26:J28 J30:J34 J38:J40">
    <cfRule type="cellIs" dxfId="6" priority="2" operator="lessThan">
      <formula>0</formula>
    </cfRule>
  </conditionalFormatting>
  <conditionalFormatting sqref="M3:M34 M38:M40">
    <cfRule type="cellIs" dxfId="7" priority="3" operator="greaterThan">
      <formula>100</formula>
    </cfRule>
  </conditionalFormatting>
  <conditionalFormatting sqref="M3:M34 M38:M40">
    <cfRule type="cellIs" dxfId="8" priority="4" operator="between">
      <formula>60</formula>
      <formula>100</formula>
    </cfRule>
  </conditionalFormatting>
  <conditionalFormatting sqref="Q3:Q34 Q38:Q40">
    <cfRule type="cellIs" dxfId="7" priority="5" operator="lessThan">
      <formula>"10%"</formula>
    </cfRule>
  </conditionalFormatting>
  <conditionalFormatting sqref="S3:S34 S38:S40">
    <cfRule type="cellIs" dxfId="7" priority="6" operator="lessThan">
      <formula>"2%"</formula>
    </cfRule>
  </conditionalFormatting>
  <conditionalFormatting sqref="T3:U34 T38:U40">
    <cfRule type="cellIs" dxfId="7" priority="7" operator="lessThan">
      <formula>0</formula>
    </cfRule>
  </conditionalFormatting>
  <conditionalFormatting sqref="V3:V34 V38:V40">
    <cfRule type="cellIs" dxfId="8" priority="8" operator="lessThan">
      <formula>0</formula>
    </cfRule>
  </conditionalFormatting>
  <conditionalFormatting sqref="AC10:AC15 AC38:AC39">
    <cfRule type="cellIs" dxfId="7" priority="9" operator="greaterThan">
      <formula>10</formula>
    </cfRule>
  </conditionalFormatting>
  <conditionalFormatting sqref="AC17:AC19">
    <cfRule type="cellIs" dxfId="7" priority="10" operator="greaterThan">
      <formula>4</formula>
    </cfRule>
  </conditionalFormatting>
  <conditionalFormatting sqref="AC21:AC24">
    <cfRule type="cellIs" dxfId="7" priority="11" operator="greaterThan">
      <formula>4</formula>
    </cfRule>
  </conditionalFormatting>
  <conditionalFormatting sqref="AC26:AC34 AC40">
    <cfRule type="cellIs" dxfId="7" priority="12" operator="greaterThan">
      <formula>4</formula>
    </cfRule>
  </conditionalFormatting>
  <conditionalFormatting sqref="AD3:AD34 AD38:AD40">
    <cfRule type="cellIs" dxfId="8" priority="13" operator="lessThan">
      <formula>"60%"</formula>
    </cfRule>
  </conditionalFormatting>
  <conditionalFormatting sqref="AE3:AE34 AE38:AE40">
    <cfRule type="cellIs" dxfId="6" priority="14" operator="lessThan">
      <formula>"40%"</formula>
    </cfRule>
  </conditionalFormatting>
  <conditionalFormatting sqref="AF10:AF15 AF38:AF39">
    <cfRule type="cellIs" dxfId="7" priority="15" operator="greaterThan">
      <formula>10</formula>
    </cfRule>
  </conditionalFormatting>
  <conditionalFormatting sqref="AG3:AG34 AG38:AG40">
    <cfRule type="containsText" dxfId="6" priority="16" operator="containsText" text="No">
      <formula>NOT(ISERROR(SEARCH(("No"),(AG3))))</formula>
    </cfRule>
  </conditionalFormatting>
  <conditionalFormatting sqref="AH3:AI34 AH38:AI40">
    <cfRule type="containsText" dxfId="7" priority="17" operator="containsText" text="Must Exit">
      <formula>NOT(ISERROR(SEARCH(("Must Exit"),(AH3))))</formula>
    </cfRule>
  </conditionalFormatting>
  <conditionalFormatting sqref="AH3:AI34 AH38:AI40">
    <cfRule type="containsText" dxfId="8" priority="18" operator="containsText" text="Exit">
      <formula>NOT(ISERROR(SEARCH(("Exit"),(AH3))))</formula>
    </cfRule>
  </conditionalFormatting>
  <dataValidations>
    <dataValidation type="custom" allowBlank="1" showDropDown="1" sqref="A3:A34 C3:F34 H3:H34 K3:L34 O3:O34 R3:R34 X3:X34 AC3:AF34">
      <formula1>AND(ISNUMBER(A3),(NOT(OR(NOT(ISERROR(DATEVALUE(A3))), AND(ISNUMBER(A3), LEFT(CELL("format", A3))="D")))))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2025-03-05T06:30:44Z</dcterms:created>
  <dc:creator>Abhishek</dc:creator>
</cp:coreProperties>
</file>